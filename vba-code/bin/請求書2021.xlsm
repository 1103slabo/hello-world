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https://1103slabo-my.sharepoint.com/personal/hitomi_1103slabo_onmicrosoft_com/Documents/01_仕事/06_宮地先生/1103s請求領収書/"/>
    </mc:Choice>
  </mc:AlternateContent>
  <xr:revisionPtr revIDLastSave="34" documentId="13_ncr:1_{953EC2D1-A496-4600-BE97-18861D653380}" xr6:coauthVersionLast="46" xr6:coauthVersionMax="46" xr10:uidLastSave="{C3466573-01EC-408E-B0AC-E0C472824D79}"/>
  <bookViews>
    <workbookView xWindow="-120" yWindow="-120" windowWidth="27885" windowHeight="16440" activeTab="1" xr2:uid="{00000000-000D-0000-FFFF-FFFF00000000}"/>
  </bookViews>
  <sheets>
    <sheet name="メニュー" sheetId="32" r:id="rId1"/>
    <sheet name="請求書20210001" sheetId="34" r:id="rId2"/>
    <sheet name="請求書履歴" sheetId="23" r:id="rId3"/>
    <sheet name="商品履歴" sheetId="33" r:id="rId4"/>
    <sheet name="顧客情報" sheetId="24" r:id="rId5"/>
    <sheet name="商品マスタ" sheetId="25" r:id="rId6"/>
    <sheet name="各種設定" sheetId="22" r:id="rId7"/>
    <sheet name="請求書原本" sheetId="9" r:id="rId8"/>
    <sheet name="領収書原本" sheetId="3" r:id="rId9"/>
    <sheet name="見積書原本" sheetId="21" r:id="rId10"/>
    <sheet name="領収書001" sheetId="19" r:id="rId11"/>
    <sheet name="請求書013" sheetId="30" r:id="rId12"/>
    <sheet name="請求書012" sheetId="29" r:id="rId13"/>
    <sheet name="請求書011" sheetId="28" r:id="rId14"/>
    <sheet name="請求書010" sheetId="27" r:id="rId15"/>
    <sheet name="請求書009" sheetId="26" r:id="rId16"/>
    <sheet name="請求書008" sheetId="20" r:id="rId17"/>
    <sheet name="請求書007" sheetId="17" r:id="rId18"/>
    <sheet name="請求書006" sheetId="16" r:id="rId19"/>
    <sheet name="請求書005" sheetId="14" r:id="rId20"/>
    <sheet name="請求書004" sheetId="13" r:id="rId21"/>
    <sheet name="請求書003" sheetId="12" r:id="rId22"/>
    <sheet name="請求書002" sheetId="11" r:id="rId23"/>
    <sheet name="請求書001" sheetId="10" r:id="rId24"/>
  </sheets>
  <definedNames>
    <definedName name="_xlnm.Print_Area" localSheetId="9">見積書原本!$B$2:$I$52</definedName>
    <definedName name="_xlnm.Print_Area" localSheetId="23">請求書001!$B$2:$I$53</definedName>
    <definedName name="_xlnm.Print_Area" localSheetId="22">請求書002!$B$2:$I$53</definedName>
    <definedName name="_xlnm.Print_Area" localSheetId="21">請求書003!$B$2:$I$53</definedName>
    <definedName name="_xlnm.Print_Area" localSheetId="20">請求書004!$B$2:$I$53</definedName>
    <definedName name="_xlnm.Print_Area" localSheetId="19">請求書005!$B$2:$I$53</definedName>
    <definedName name="_xlnm.Print_Area" localSheetId="18">請求書006!$B$2:$I$53</definedName>
    <definedName name="_xlnm.Print_Area" localSheetId="17">請求書007!$B$2:$I$53</definedName>
    <definedName name="_xlnm.Print_Area" localSheetId="16">請求書008!$B$2:$I$53</definedName>
    <definedName name="_xlnm.Print_Area" localSheetId="15">請求書009!$B$2:$I$53</definedName>
    <definedName name="_xlnm.Print_Area" localSheetId="14">請求書010!$B$2:$I$53</definedName>
    <definedName name="_xlnm.Print_Area" localSheetId="13">請求書011!$B$2:$I$53</definedName>
    <definedName name="_xlnm.Print_Area" localSheetId="12">請求書012!$B$2:$I$53</definedName>
    <definedName name="_xlnm.Print_Area" localSheetId="11">請求書013!$B$2:$I$53</definedName>
    <definedName name="_xlnm.Print_Area" localSheetId="1">請求書20210001!$B$2:$I$53</definedName>
    <definedName name="_xlnm.Print_Area" localSheetId="7">請求書原本!$B$2:$I$53</definedName>
    <definedName name="_xlnm.Print_Area" localSheetId="10">領収書001!$B$2:$H$24</definedName>
    <definedName name="_xlnm.Print_Area" localSheetId="8">領収書原本!$B$2:$H$24</definedName>
    <definedName name="商品マスタ">商品マスタ!$A$1:$E$9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8" i="34" l="1"/>
  <c r="I28" i="34" s="1"/>
  <c r="H28" i="34"/>
  <c r="F29" i="34"/>
  <c r="I29" i="34" s="1"/>
  <c r="H29" i="34"/>
  <c r="F27" i="34"/>
  <c r="I27" i="34" s="1"/>
  <c r="F6" i="34"/>
  <c r="C14" i="34" s="1"/>
  <c r="I40" i="34"/>
  <c r="H40" i="34"/>
  <c r="F40" i="34"/>
  <c r="D40" i="34"/>
  <c r="B40" i="34"/>
  <c r="I39" i="34"/>
  <c r="H39" i="34"/>
  <c r="F39" i="34"/>
  <c r="D39" i="34"/>
  <c r="B39" i="34"/>
  <c r="I38" i="34"/>
  <c r="H38" i="34"/>
  <c r="F38" i="34"/>
  <c r="D38" i="34"/>
  <c r="B38" i="34"/>
  <c r="I37" i="34"/>
  <c r="H37" i="34"/>
  <c r="F37" i="34"/>
  <c r="D37" i="34"/>
  <c r="B37" i="34"/>
  <c r="I36" i="34"/>
  <c r="H36" i="34"/>
  <c r="F36" i="34"/>
  <c r="D36" i="34"/>
  <c r="B36" i="34"/>
  <c r="I35" i="34"/>
  <c r="H35" i="34"/>
  <c r="F35" i="34"/>
  <c r="D35" i="34"/>
  <c r="B35" i="34"/>
  <c r="I34" i="34"/>
  <c r="H34" i="34"/>
  <c r="F34" i="34"/>
  <c r="D34" i="34"/>
  <c r="B34" i="34"/>
  <c r="I33" i="34"/>
  <c r="H33" i="34"/>
  <c r="F33" i="34"/>
  <c r="D33" i="34"/>
  <c r="B33" i="34"/>
  <c r="I32" i="34"/>
  <c r="H32" i="34"/>
  <c r="F32" i="34"/>
  <c r="B32" i="34"/>
  <c r="I31" i="34"/>
  <c r="H31" i="34"/>
  <c r="F31" i="34"/>
  <c r="B31" i="34"/>
  <c r="I30" i="34"/>
  <c r="H30" i="34"/>
  <c r="F30" i="34"/>
  <c r="D30" i="34"/>
  <c r="B30" i="34"/>
  <c r="B29" i="34"/>
  <c r="B28" i="34"/>
  <c r="H27" i="34"/>
  <c r="B27" i="34"/>
  <c r="F18" i="34"/>
  <c r="F17" i="34"/>
  <c r="C17" i="34"/>
  <c r="C16" i="34"/>
  <c r="F15" i="34"/>
  <c r="C15" i="34"/>
  <c r="F14" i="34"/>
  <c r="F13" i="34"/>
  <c r="I13" i="32"/>
  <c r="I14" i="32"/>
  <c r="I15" i="32"/>
  <c r="I16" i="32"/>
  <c r="I17" i="32"/>
  <c r="I18" i="32"/>
  <c r="I19" i="32"/>
  <c r="H13" i="32"/>
  <c r="H14" i="32"/>
  <c r="H15" i="32"/>
  <c r="H16" i="32"/>
  <c r="H17" i="32"/>
  <c r="H18" i="32"/>
  <c r="H19" i="32"/>
  <c r="D13" i="32"/>
  <c r="D14" i="32"/>
  <c r="D15" i="32"/>
  <c r="D16" i="32"/>
  <c r="D17" i="32"/>
  <c r="D18" i="32"/>
  <c r="D19" i="32"/>
  <c r="H12" i="32"/>
  <c r="I12" i="32"/>
  <c r="D12" i="32"/>
  <c r="E15" i="32"/>
  <c r="E16" i="32"/>
  <c r="E17" i="32"/>
  <c r="E18" i="32"/>
  <c r="E19" i="32"/>
  <c r="F8" i="32"/>
  <c r="E8" i="32"/>
  <c r="D8" i="32"/>
  <c r="B8" i="32"/>
  <c r="B28" i="9"/>
  <c r="B29" i="9"/>
  <c r="B27" i="9"/>
  <c r="F27" i="9"/>
  <c r="I27" i="9" s="1"/>
  <c r="H28" i="9"/>
  <c r="H29" i="9"/>
  <c r="H30" i="9"/>
  <c r="I30" i="9"/>
  <c r="H31" i="9"/>
  <c r="I31" i="9"/>
  <c r="H32" i="9"/>
  <c r="I32" i="9"/>
  <c r="H33" i="9"/>
  <c r="I33" i="9"/>
  <c r="H34" i="9"/>
  <c r="I34" i="9"/>
  <c r="H35" i="9"/>
  <c r="I35" i="9"/>
  <c r="H36" i="9"/>
  <c r="I36" i="9"/>
  <c r="H37" i="9"/>
  <c r="I37" i="9"/>
  <c r="H38" i="9"/>
  <c r="I38" i="9"/>
  <c r="H39" i="9"/>
  <c r="I39" i="9"/>
  <c r="H40" i="9"/>
  <c r="I40" i="9"/>
  <c r="H27" i="9"/>
  <c r="C17" i="9"/>
  <c r="C16" i="9"/>
  <c r="C15" i="9"/>
  <c r="F18" i="9"/>
  <c r="F17" i="9"/>
  <c r="F15" i="9"/>
  <c r="F14" i="9"/>
  <c r="F13" i="9"/>
  <c r="I41" i="34" l="1"/>
  <c r="D28" i="30"/>
  <c r="F28" i="30"/>
  <c r="I28" i="30" s="1"/>
  <c r="B30" i="30"/>
  <c r="B31" i="30"/>
  <c r="B32" i="30"/>
  <c r="B29" i="30"/>
  <c r="I40" i="30"/>
  <c r="H40" i="30"/>
  <c r="F40" i="30"/>
  <c r="D40" i="30"/>
  <c r="B40" i="30"/>
  <c r="I39" i="30"/>
  <c r="H39" i="30"/>
  <c r="F39" i="30"/>
  <c r="D39" i="30"/>
  <c r="B39" i="30"/>
  <c r="I38" i="30"/>
  <c r="H38" i="30"/>
  <c r="F38" i="30"/>
  <c r="D38" i="30"/>
  <c r="B38" i="30"/>
  <c r="I37" i="30"/>
  <c r="H37" i="30"/>
  <c r="F37" i="30"/>
  <c r="D37" i="30"/>
  <c r="B37" i="30"/>
  <c r="I36" i="30"/>
  <c r="H36" i="30"/>
  <c r="F36" i="30"/>
  <c r="D36" i="30"/>
  <c r="B36" i="30"/>
  <c r="I35" i="30"/>
  <c r="H35" i="30"/>
  <c r="F35" i="30"/>
  <c r="D35" i="30"/>
  <c r="B35" i="30"/>
  <c r="I34" i="30"/>
  <c r="H34" i="30"/>
  <c r="F34" i="30"/>
  <c r="D34" i="30"/>
  <c r="B34" i="30"/>
  <c r="I33" i="30"/>
  <c r="H33" i="30"/>
  <c r="F33" i="30"/>
  <c r="D33" i="30"/>
  <c r="B33" i="30"/>
  <c r="I32" i="30"/>
  <c r="H32" i="30"/>
  <c r="F32" i="30"/>
  <c r="D32" i="30"/>
  <c r="I31" i="30"/>
  <c r="H31" i="30"/>
  <c r="F31" i="30"/>
  <c r="H30" i="30"/>
  <c r="F30" i="30"/>
  <c r="I30" i="30" s="1"/>
  <c r="H29" i="30"/>
  <c r="F29" i="30"/>
  <c r="I29" i="30" s="1"/>
  <c r="H28" i="30"/>
  <c r="H27" i="30"/>
  <c r="F27" i="30"/>
  <c r="I27" i="30" s="1"/>
  <c r="B27" i="30"/>
  <c r="F18" i="30"/>
  <c r="F17" i="30"/>
  <c r="C17" i="30"/>
  <c r="C16" i="30"/>
  <c r="F15" i="30"/>
  <c r="C15" i="30"/>
  <c r="F14" i="30"/>
  <c r="C14" i="30"/>
  <c r="F13" i="30"/>
  <c r="I42" i="34" l="1"/>
  <c r="I43" i="34" s="1"/>
  <c r="C18" i="34" s="1"/>
  <c r="I41" i="30"/>
  <c r="B31" i="29"/>
  <c r="I40" i="29"/>
  <c r="H40" i="29"/>
  <c r="F40" i="29"/>
  <c r="D40" i="29"/>
  <c r="B40" i="29"/>
  <c r="I39" i="29"/>
  <c r="H39" i="29"/>
  <c r="F39" i="29"/>
  <c r="D39" i="29"/>
  <c r="B39" i="29"/>
  <c r="I38" i="29"/>
  <c r="H38" i="29"/>
  <c r="F38" i="29"/>
  <c r="D38" i="29"/>
  <c r="B38" i="29"/>
  <c r="I37" i="29"/>
  <c r="H37" i="29"/>
  <c r="F37" i="29"/>
  <c r="D37" i="29"/>
  <c r="B37" i="29"/>
  <c r="I36" i="29"/>
  <c r="H36" i="29"/>
  <c r="F36" i="29"/>
  <c r="D36" i="29"/>
  <c r="B36" i="29"/>
  <c r="I35" i="29"/>
  <c r="H35" i="29"/>
  <c r="F35" i="29"/>
  <c r="D35" i="29"/>
  <c r="B35" i="29"/>
  <c r="I34" i="29"/>
  <c r="H34" i="29"/>
  <c r="F34" i="29"/>
  <c r="D34" i="29"/>
  <c r="B34" i="29"/>
  <c r="I33" i="29"/>
  <c r="H33" i="29"/>
  <c r="F33" i="29"/>
  <c r="D33" i="29"/>
  <c r="B33" i="29"/>
  <c r="I32" i="29"/>
  <c r="H32" i="29"/>
  <c r="F32" i="29"/>
  <c r="D32" i="29"/>
  <c r="B32" i="29"/>
  <c r="H31" i="29"/>
  <c r="F31" i="29"/>
  <c r="I31" i="29" s="1"/>
  <c r="H30" i="29"/>
  <c r="F30" i="29"/>
  <c r="I30" i="29" s="1"/>
  <c r="D30" i="29"/>
  <c r="H29" i="29"/>
  <c r="F29" i="29"/>
  <c r="I29" i="29" s="1"/>
  <c r="B29" i="29"/>
  <c r="H28" i="29"/>
  <c r="F28" i="29"/>
  <c r="I28" i="29" s="1"/>
  <c r="D28" i="29"/>
  <c r="H27" i="29"/>
  <c r="F27" i="29"/>
  <c r="I27" i="29" s="1"/>
  <c r="B27" i="29"/>
  <c r="F18" i="29"/>
  <c r="F17" i="29"/>
  <c r="C17" i="29"/>
  <c r="C16" i="29"/>
  <c r="F15" i="29"/>
  <c r="C15" i="29"/>
  <c r="F14" i="29"/>
  <c r="C14" i="29"/>
  <c r="F13" i="29"/>
  <c r="I42" i="30" l="1"/>
  <c r="I43" i="30" s="1"/>
  <c r="C18" i="30" s="1"/>
  <c r="I41" i="29"/>
  <c r="H27" i="28"/>
  <c r="H28" i="28"/>
  <c r="H29" i="28"/>
  <c r="H30" i="28"/>
  <c r="F27" i="28"/>
  <c r="I27" i="28" s="1"/>
  <c r="F28" i="28"/>
  <c r="I28" i="28" s="1"/>
  <c r="F29" i="28"/>
  <c r="I29" i="28" s="1"/>
  <c r="F30" i="28"/>
  <c r="I30" i="28" s="1"/>
  <c r="F31" i="28"/>
  <c r="I31" i="28" s="1"/>
  <c r="H31" i="28"/>
  <c r="B31" i="28"/>
  <c r="D30" i="28"/>
  <c r="I40" i="28"/>
  <c r="H40" i="28"/>
  <c r="F40" i="28"/>
  <c r="D40" i="28"/>
  <c r="B40" i="28"/>
  <c r="I39" i="28"/>
  <c r="H39" i="28"/>
  <c r="F39" i="28"/>
  <c r="D39" i="28"/>
  <c r="B39" i="28"/>
  <c r="I38" i="28"/>
  <c r="H38" i="28"/>
  <c r="F38" i="28"/>
  <c r="D38" i="28"/>
  <c r="B38" i="28"/>
  <c r="I37" i="28"/>
  <c r="H37" i="28"/>
  <c r="F37" i="28"/>
  <c r="D37" i="28"/>
  <c r="B37" i="28"/>
  <c r="I36" i="28"/>
  <c r="H36" i="28"/>
  <c r="F36" i="28"/>
  <c r="D36" i="28"/>
  <c r="B36" i="28"/>
  <c r="I35" i="28"/>
  <c r="H35" i="28"/>
  <c r="F35" i="28"/>
  <c r="D35" i="28"/>
  <c r="B35" i="28"/>
  <c r="I34" i="28"/>
  <c r="H34" i="28"/>
  <c r="F34" i="28"/>
  <c r="D34" i="28"/>
  <c r="B34" i="28"/>
  <c r="I33" i="28"/>
  <c r="H33" i="28"/>
  <c r="F33" i="28"/>
  <c r="D33" i="28"/>
  <c r="B33" i="28"/>
  <c r="I32" i="28"/>
  <c r="H32" i="28"/>
  <c r="F32" i="28"/>
  <c r="D32" i="28"/>
  <c r="B32" i="28"/>
  <c r="B29" i="28"/>
  <c r="D28" i="28"/>
  <c r="B27" i="28"/>
  <c r="F18" i="28"/>
  <c r="F17" i="28"/>
  <c r="C17" i="28"/>
  <c r="C16" i="28"/>
  <c r="F15" i="28"/>
  <c r="C15" i="28"/>
  <c r="F14" i="28"/>
  <c r="C14" i="28"/>
  <c r="F13" i="28"/>
  <c r="I42" i="29" l="1"/>
  <c r="I43" i="29" s="1"/>
  <c r="C18" i="29" s="1"/>
  <c r="I41" i="28"/>
  <c r="D28" i="27"/>
  <c r="I40" i="27"/>
  <c r="H40" i="27"/>
  <c r="F40" i="27"/>
  <c r="D40" i="27"/>
  <c r="B40" i="27"/>
  <c r="I39" i="27"/>
  <c r="H39" i="27"/>
  <c r="F39" i="27"/>
  <c r="D39" i="27"/>
  <c r="B39" i="27"/>
  <c r="I38" i="27"/>
  <c r="H38" i="27"/>
  <c r="F38" i="27"/>
  <c r="D38" i="27"/>
  <c r="B38" i="27"/>
  <c r="I37" i="27"/>
  <c r="H37" i="27"/>
  <c r="F37" i="27"/>
  <c r="D37" i="27"/>
  <c r="B37" i="27"/>
  <c r="I36" i="27"/>
  <c r="H36" i="27"/>
  <c r="F36" i="27"/>
  <c r="D36" i="27"/>
  <c r="B36" i="27"/>
  <c r="I35" i="27"/>
  <c r="H35" i="27"/>
  <c r="F35" i="27"/>
  <c r="D35" i="27"/>
  <c r="B35" i="27"/>
  <c r="I34" i="27"/>
  <c r="H34" i="27"/>
  <c r="F34" i="27"/>
  <c r="D34" i="27"/>
  <c r="B34" i="27"/>
  <c r="I33" i="27"/>
  <c r="H33" i="27"/>
  <c r="F33" i="27"/>
  <c r="D33" i="27"/>
  <c r="B33" i="27"/>
  <c r="I32" i="27"/>
  <c r="H32" i="27"/>
  <c r="F32" i="27"/>
  <c r="D32" i="27"/>
  <c r="B32" i="27"/>
  <c r="I31" i="27"/>
  <c r="H31" i="27"/>
  <c r="F31" i="27"/>
  <c r="D31" i="27"/>
  <c r="B31" i="27"/>
  <c r="H30" i="27"/>
  <c r="F30" i="27"/>
  <c r="I30" i="27" s="1"/>
  <c r="D30" i="27"/>
  <c r="H29" i="27"/>
  <c r="F29" i="27"/>
  <c r="I29" i="27" s="1"/>
  <c r="B29" i="27"/>
  <c r="H28" i="27"/>
  <c r="F28" i="27"/>
  <c r="I28" i="27" s="1"/>
  <c r="H27" i="27"/>
  <c r="F27" i="27"/>
  <c r="I27" i="27" s="1"/>
  <c r="B27" i="27"/>
  <c r="F18" i="27"/>
  <c r="F17" i="27"/>
  <c r="C17" i="27"/>
  <c r="C16" i="27"/>
  <c r="F15" i="27"/>
  <c r="C15" i="27"/>
  <c r="F14" i="27"/>
  <c r="C14" i="27"/>
  <c r="F13" i="27"/>
  <c r="I42" i="28" l="1"/>
  <c r="I43" i="28" s="1"/>
  <c r="C18" i="28" s="1"/>
  <c r="I41" i="27"/>
  <c r="B31" i="26"/>
  <c r="B32" i="26"/>
  <c r="B33" i="26"/>
  <c r="B34" i="26"/>
  <c r="B35" i="26"/>
  <c r="B36" i="26"/>
  <c r="B37" i="26"/>
  <c r="B38" i="26"/>
  <c r="B39" i="26"/>
  <c r="B40" i="26"/>
  <c r="B29" i="26"/>
  <c r="B28" i="26"/>
  <c r="D40" i="20"/>
  <c r="D39" i="20"/>
  <c r="D38" i="20"/>
  <c r="D37" i="20"/>
  <c r="D36" i="20"/>
  <c r="D35" i="20"/>
  <c r="D34" i="20"/>
  <c r="D33" i="20"/>
  <c r="D32" i="20"/>
  <c r="D31" i="20"/>
  <c r="D30" i="20"/>
  <c r="D29" i="20"/>
  <c r="D28" i="20"/>
  <c r="D40" i="17"/>
  <c r="D39" i="17"/>
  <c r="D38" i="17"/>
  <c r="D37" i="17"/>
  <c r="D36" i="17"/>
  <c r="D35" i="17"/>
  <c r="D34" i="17"/>
  <c r="D33" i="17"/>
  <c r="D32" i="17"/>
  <c r="D31" i="17"/>
  <c r="D30" i="17"/>
  <c r="D29" i="17"/>
  <c r="D28" i="17"/>
  <c r="D40" i="16"/>
  <c r="D39" i="16"/>
  <c r="D38" i="16"/>
  <c r="D37" i="16"/>
  <c r="D36" i="16"/>
  <c r="D35" i="16"/>
  <c r="D34" i="16"/>
  <c r="D33" i="16"/>
  <c r="D32" i="16"/>
  <c r="D31" i="16"/>
  <c r="D30" i="16"/>
  <c r="D29" i="16"/>
  <c r="D28" i="16"/>
  <c r="D40" i="14"/>
  <c r="D39" i="14"/>
  <c r="D38" i="14"/>
  <c r="D37" i="14"/>
  <c r="D36" i="14"/>
  <c r="D35" i="14"/>
  <c r="D34" i="14"/>
  <c r="D33" i="14"/>
  <c r="D32" i="14"/>
  <c r="D31" i="14"/>
  <c r="D30" i="14"/>
  <c r="D29" i="14"/>
  <c r="D28" i="14"/>
  <c r="D40" i="13"/>
  <c r="D39" i="13"/>
  <c r="D38" i="13"/>
  <c r="D37" i="13"/>
  <c r="D36" i="13"/>
  <c r="D35" i="13"/>
  <c r="D34" i="13"/>
  <c r="D33" i="13"/>
  <c r="D32" i="13"/>
  <c r="D31" i="13"/>
  <c r="D30" i="13"/>
  <c r="D29" i="13"/>
  <c r="D28" i="13"/>
  <c r="D40" i="12"/>
  <c r="D39" i="12"/>
  <c r="D38" i="12"/>
  <c r="D37" i="12"/>
  <c r="D36" i="12"/>
  <c r="D35" i="12"/>
  <c r="D34" i="12"/>
  <c r="D33" i="12"/>
  <c r="D32" i="12"/>
  <c r="D31" i="12"/>
  <c r="D30" i="12"/>
  <c r="D29" i="12"/>
  <c r="D28" i="12"/>
  <c r="D40" i="11"/>
  <c r="D39" i="11"/>
  <c r="D38" i="11"/>
  <c r="D37" i="11"/>
  <c r="D36" i="11"/>
  <c r="D35" i="11"/>
  <c r="D34" i="11"/>
  <c r="D33" i="11"/>
  <c r="D32" i="11"/>
  <c r="D31" i="11"/>
  <c r="D30" i="11"/>
  <c r="D29" i="11"/>
  <c r="D28" i="11"/>
  <c r="D40" i="10"/>
  <c r="D39" i="10"/>
  <c r="D38" i="10"/>
  <c r="D37" i="10"/>
  <c r="D36" i="10"/>
  <c r="D35" i="10"/>
  <c r="D34" i="10"/>
  <c r="D33" i="10"/>
  <c r="D32" i="10"/>
  <c r="D31" i="10"/>
  <c r="D30" i="10"/>
  <c r="D29" i="10"/>
  <c r="D28" i="10"/>
  <c r="D40" i="26"/>
  <c r="D39" i="26"/>
  <c r="D38" i="26"/>
  <c r="D37" i="26"/>
  <c r="D36" i="26"/>
  <c r="D35" i="26"/>
  <c r="D34" i="26"/>
  <c r="D33" i="26"/>
  <c r="D32" i="26"/>
  <c r="D31" i="26"/>
  <c r="D30" i="26"/>
  <c r="B27" i="20"/>
  <c r="B27" i="17"/>
  <c r="B27" i="16"/>
  <c r="B27" i="14"/>
  <c r="B27" i="13"/>
  <c r="B27" i="12"/>
  <c r="B27" i="11"/>
  <c r="B27" i="10"/>
  <c r="B27" i="26"/>
  <c r="I40" i="26"/>
  <c r="H40" i="26"/>
  <c r="F40" i="26"/>
  <c r="I39" i="26"/>
  <c r="H39" i="26"/>
  <c r="F39" i="26"/>
  <c r="I38" i="26"/>
  <c r="H38" i="26"/>
  <c r="F38" i="26"/>
  <c r="I37" i="26"/>
  <c r="H37" i="26"/>
  <c r="F37" i="26"/>
  <c r="I36" i="26"/>
  <c r="H36" i="26"/>
  <c r="F36" i="26"/>
  <c r="I35" i="26"/>
  <c r="H35" i="26"/>
  <c r="F35" i="26"/>
  <c r="I34" i="26"/>
  <c r="H34" i="26"/>
  <c r="F34" i="26"/>
  <c r="I33" i="26"/>
  <c r="H33" i="26"/>
  <c r="F33" i="26"/>
  <c r="I32" i="26"/>
  <c r="H32" i="26"/>
  <c r="F32" i="26"/>
  <c r="I31" i="26"/>
  <c r="H31" i="26"/>
  <c r="F31" i="26"/>
  <c r="H30" i="26"/>
  <c r="F30" i="26"/>
  <c r="I30" i="26" s="1"/>
  <c r="H29" i="26"/>
  <c r="F29" i="26"/>
  <c r="I29" i="26" s="1"/>
  <c r="H28" i="26"/>
  <c r="F28" i="26"/>
  <c r="I28" i="26" s="1"/>
  <c r="H27" i="26"/>
  <c r="F27" i="26"/>
  <c r="I27" i="26" s="1"/>
  <c r="F18" i="26"/>
  <c r="F17" i="26"/>
  <c r="C17" i="26"/>
  <c r="C16" i="26"/>
  <c r="F15" i="26"/>
  <c r="C15" i="26"/>
  <c r="F14" i="26"/>
  <c r="C14" i="26"/>
  <c r="F13" i="26"/>
  <c r="I42" i="27" l="1"/>
  <c r="I43" i="27" s="1"/>
  <c r="C18" i="27" s="1"/>
  <c r="I41" i="26"/>
  <c r="I42" i="26" s="1"/>
  <c r="I43" i="26" s="1"/>
  <c r="C18" i="26" s="1"/>
  <c r="H28" i="20" l="1"/>
  <c r="H29" i="20"/>
  <c r="H30" i="20"/>
  <c r="H31" i="20"/>
  <c r="H32" i="20"/>
  <c r="H33" i="20"/>
  <c r="H34" i="20"/>
  <c r="H35" i="20"/>
  <c r="H36" i="20"/>
  <c r="H37" i="20"/>
  <c r="H38" i="20"/>
  <c r="H39" i="20"/>
  <c r="H40" i="20"/>
  <c r="H28" i="17"/>
  <c r="H29" i="17"/>
  <c r="H30" i="17"/>
  <c r="H31" i="17"/>
  <c r="H32" i="17"/>
  <c r="H33" i="17"/>
  <c r="H34" i="17"/>
  <c r="H35" i="17"/>
  <c r="H36" i="17"/>
  <c r="H37" i="17"/>
  <c r="H38" i="17"/>
  <c r="H39" i="17"/>
  <c r="H40" i="17"/>
  <c r="H28" i="16"/>
  <c r="H29" i="16"/>
  <c r="H30" i="16"/>
  <c r="H31" i="16"/>
  <c r="H32" i="16"/>
  <c r="H33" i="16"/>
  <c r="H34" i="16"/>
  <c r="H35" i="16"/>
  <c r="H36" i="16"/>
  <c r="H37" i="16"/>
  <c r="H38" i="16"/>
  <c r="H39" i="16"/>
  <c r="H40" i="16"/>
  <c r="H28" i="14"/>
  <c r="H29" i="14"/>
  <c r="H30" i="14"/>
  <c r="H31" i="14"/>
  <c r="H32" i="14"/>
  <c r="H33" i="14"/>
  <c r="H34" i="14"/>
  <c r="H35" i="14"/>
  <c r="H36" i="14"/>
  <c r="H37" i="14"/>
  <c r="H38" i="14"/>
  <c r="H39" i="14"/>
  <c r="H40" i="14"/>
  <c r="H28" i="13"/>
  <c r="H29" i="13"/>
  <c r="H30" i="13"/>
  <c r="H31" i="13"/>
  <c r="H32" i="13"/>
  <c r="H33" i="13"/>
  <c r="H34" i="13"/>
  <c r="H35" i="13"/>
  <c r="H36" i="13"/>
  <c r="H37" i="13"/>
  <c r="H38" i="13"/>
  <c r="H39" i="13"/>
  <c r="H40" i="13"/>
  <c r="H28" i="12"/>
  <c r="H29" i="12"/>
  <c r="H30" i="12"/>
  <c r="H31" i="12"/>
  <c r="H32" i="12"/>
  <c r="H33" i="12"/>
  <c r="H34" i="12"/>
  <c r="H35" i="12"/>
  <c r="H36" i="12"/>
  <c r="H37" i="12"/>
  <c r="H38" i="12"/>
  <c r="H39" i="12"/>
  <c r="H40" i="12"/>
  <c r="H28" i="11"/>
  <c r="H29" i="11"/>
  <c r="H30" i="11"/>
  <c r="H31" i="11"/>
  <c r="H32" i="11"/>
  <c r="H33" i="11"/>
  <c r="H34" i="11"/>
  <c r="H35" i="11"/>
  <c r="H36" i="11"/>
  <c r="H37" i="11"/>
  <c r="H38" i="11"/>
  <c r="H39" i="11"/>
  <c r="H40" i="11"/>
  <c r="H28" i="10"/>
  <c r="H29" i="10"/>
  <c r="H30" i="10"/>
  <c r="H31" i="10"/>
  <c r="H32" i="10"/>
  <c r="H33" i="10"/>
  <c r="H34" i="10"/>
  <c r="H35" i="10"/>
  <c r="H36" i="10"/>
  <c r="H37" i="10"/>
  <c r="H38" i="10"/>
  <c r="H39" i="10"/>
  <c r="H40" i="10"/>
  <c r="F28" i="20"/>
  <c r="F29" i="20"/>
  <c r="F30" i="20"/>
  <c r="F31" i="20"/>
  <c r="F32" i="20"/>
  <c r="F33" i="20"/>
  <c r="F34" i="20"/>
  <c r="F35" i="20"/>
  <c r="F36" i="20"/>
  <c r="F37" i="20"/>
  <c r="F38" i="20"/>
  <c r="F39" i="20"/>
  <c r="F40" i="20"/>
  <c r="F28" i="17"/>
  <c r="F29" i="17"/>
  <c r="F30" i="17"/>
  <c r="F31" i="17"/>
  <c r="F32" i="17"/>
  <c r="F33" i="17"/>
  <c r="F34" i="17"/>
  <c r="F35" i="17"/>
  <c r="F36" i="17"/>
  <c r="F37" i="17"/>
  <c r="F38" i="17"/>
  <c r="F39" i="17"/>
  <c r="F40" i="17"/>
  <c r="F28" i="16"/>
  <c r="F29" i="16"/>
  <c r="F30" i="16"/>
  <c r="F31" i="16"/>
  <c r="F32" i="16"/>
  <c r="F33" i="16"/>
  <c r="F34" i="16"/>
  <c r="F35" i="16"/>
  <c r="F36" i="16"/>
  <c r="F37" i="16"/>
  <c r="F38" i="16"/>
  <c r="F39" i="16"/>
  <c r="F40" i="16"/>
  <c r="F28" i="14"/>
  <c r="F29" i="14"/>
  <c r="F30" i="14"/>
  <c r="F31" i="14"/>
  <c r="F32" i="14"/>
  <c r="F33" i="14"/>
  <c r="F34" i="14"/>
  <c r="F35" i="14"/>
  <c r="F36" i="14"/>
  <c r="F37" i="14"/>
  <c r="F38" i="14"/>
  <c r="F39" i="14"/>
  <c r="F40" i="14"/>
  <c r="F28" i="13"/>
  <c r="F29" i="13"/>
  <c r="F30" i="13"/>
  <c r="F31" i="13"/>
  <c r="F32" i="13"/>
  <c r="F33" i="13"/>
  <c r="F34" i="13"/>
  <c r="F35" i="13"/>
  <c r="F36" i="13"/>
  <c r="F37" i="13"/>
  <c r="F38" i="13"/>
  <c r="F39" i="13"/>
  <c r="F40" i="13"/>
  <c r="F28" i="12"/>
  <c r="F29" i="12"/>
  <c r="F30" i="12"/>
  <c r="F31" i="12"/>
  <c r="F32" i="12"/>
  <c r="F33" i="12"/>
  <c r="F34" i="12"/>
  <c r="F35" i="12"/>
  <c r="F36" i="12"/>
  <c r="F37" i="12"/>
  <c r="F38" i="12"/>
  <c r="F39" i="12"/>
  <c r="F40" i="12"/>
  <c r="F28" i="11"/>
  <c r="F29" i="11"/>
  <c r="F30" i="11"/>
  <c r="F31" i="11"/>
  <c r="F32" i="11"/>
  <c r="F33" i="11"/>
  <c r="F34" i="11"/>
  <c r="F35" i="11"/>
  <c r="F36" i="11"/>
  <c r="F37" i="11"/>
  <c r="F38" i="11"/>
  <c r="F39" i="11"/>
  <c r="F40" i="11"/>
  <c r="F28" i="10"/>
  <c r="F29" i="10"/>
  <c r="F30" i="10"/>
  <c r="F31" i="10"/>
  <c r="F32" i="10"/>
  <c r="F33" i="10"/>
  <c r="F34" i="10"/>
  <c r="F35" i="10"/>
  <c r="F36" i="10"/>
  <c r="F37" i="10"/>
  <c r="F38" i="10"/>
  <c r="F39" i="10"/>
  <c r="F40" i="10"/>
  <c r="H27" i="20"/>
  <c r="H27" i="17"/>
  <c r="H27" i="16"/>
  <c r="H27" i="14"/>
  <c r="H27" i="13"/>
  <c r="H27" i="12"/>
  <c r="H27" i="11"/>
  <c r="H27" i="10"/>
  <c r="F27" i="20"/>
  <c r="F27" i="17"/>
  <c r="F27" i="16"/>
  <c r="F27" i="14"/>
  <c r="F27" i="13"/>
  <c r="F27" i="12"/>
  <c r="F27" i="11"/>
  <c r="F27" i="10"/>
  <c r="D27" i="20"/>
  <c r="D27" i="17"/>
  <c r="D27" i="16"/>
  <c r="D27" i="14"/>
  <c r="D27" i="13"/>
  <c r="D27" i="12"/>
  <c r="D27" i="11"/>
  <c r="D27" i="10"/>
  <c r="C17" i="20"/>
  <c r="C17" i="17"/>
  <c r="C17" i="16"/>
  <c r="C17" i="14"/>
  <c r="C17" i="13"/>
  <c r="C17" i="12"/>
  <c r="C17" i="11"/>
  <c r="C17" i="10"/>
  <c r="C16" i="20"/>
  <c r="C16" i="17"/>
  <c r="C16" i="16"/>
  <c r="C16" i="14"/>
  <c r="C16" i="13"/>
  <c r="C16" i="12"/>
  <c r="C16" i="11"/>
  <c r="C16" i="10"/>
  <c r="C15" i="20"/>
  <c r="C15" i="17"/>
  <c r="C15" i="16"/>
  <c r="C15" i="14"/>
  <c r="C15" i="13"/>
  <c r="C15" i="12"/>
  <c r="C15" i="11"/>
  <c r="C15" i="10"/>
  <c r="F17" i="20"/>
  <c r="F17" i="17"/>
  <c r="F17" i="16"/>
  <c r="F17" i="14"/>
  <c r="F17" i="13"/>
  <c r="F17" i="12"/>
  <c r="F17" i="11"/>
  <c r="F17" i="10"/>
  <c r="F18" i="20"/>
  <c r="F18" i="17"/>
  <c r="F18" i="16"/>
  <c r="F18" i="14"/>
  <c r="F18" i="13"/>
  <c r="F18" i="12"/>
  <c r="F18" i="11"/>
  <c r="F18" i="10"/>
  <c r="F15" i="20"/>
  <c r="F15" i="17"/>
  <c r="F15" i="16"/>
  <c r="F15" i="14"/>
  <c r="F15" i="13"/>
  <c r="F15" i="12"/>
  <c r="F15" i="11"/>
  <c r="F15" i="10"/>
  <c r="F14" i="20"/>
  <c r="F14" i="17"/>
  <c r="F14" i="16"/>
  <c r="F14" i="14"/>
  <c r="F14" i="13"/>
  <c r="F14" i="12"/>
  <c r="F14" i="11"/>
  <c r="F14" i="10"/>
  <c r="F13" i="20"/>
  <c r="F13" i="17"/>
  <c r="F13" i="16"/>
  <c r="F13" i="14"/>
  <c r="F13" i="13"/>
  <c r="F13" i="12"/>
  <c r="F13" i="11"/>
  <c r="F13" i="10"/>
  <c r="E26" i="23" l="1"/>
  <c r="D26" i="23"/>
  <c r="C26" i="23"/>
  <c r="E25" i="23"/>
  <c r="D25" i="23"/>
  <c r="C25" i="23"/>
  <c r="E24" i="23"/>
  <c r="D24" i="23"/>
  <c r="C24" i="23"/>
  <c r="E23" i="23"/>
  <c r="D23" i="23"/>
  <c r="C23" i="23"/>
  <c r="E22" i="23"/>
  <c r="D22" i="23"/>
  <c r="C22" i="23"/>
  <c r="E21" i="23"/>
  <c r="D21" i="23"/>
  <c r="C21" i="23"/>
  <c r="E20" i="23"/>
  <c r="D20" i="23"/>
  <c r="C20" i="23"/>
  <c r="E19" i="23"/>
  <c r="D19" i="23"/>
  <c r="C19" i="23"/>
  <c r="E18" i="23"/>
  <c r="D18" i="23"/>
  <c r="C18" i="23"/>
  <c r="E17" i="23"/>
  <c r="D17" i="23"/>
  <c r="C17" i="23"/>
  <c r="E16" i="23"/>
  <c r="D16" i="23"/>
  <c r="B7" i="34" s="1"/>
  <c r="C16" i="23"/>
  <c r="B5" i="34" s="1"/>
  <c r="E15" i="23"/>
  <c r="D15" i="23"/>
  <c r="B7" i="30" s="1"/>
  <c r="C15" i="23"/>
  <c r="B5" i="30" s="1"/>
  <c r="E14" i="23"/>
  <c r="D14" i="23"/>
  <c r="C14" i="23"/>
  <c r="B5" i="29" s="1"/>
  <c r="E13" i="23"/>
  <c r="D13" i="23"/>
  <c r="C13" i="23"/>
  <c r="B5" i="28" s="1"/>
  <c r="E12" i="23"/>
  <c r="D12" i="23"/>
  <c r="B7" i="27" s="1"/>
  <c r="C12" i="23"/>
  <c r="B5" i="27" s="1"/>
  <c r="E11" i="23"/>
  <c r="D11" i="23"/>
  <c r="B7" i="26" s="1"/>
  <c r="C11" i="23"/>
  <c r="B5" i="26" s="1"/>
  <c r="E10" i="23"/>
  <c r="D10" i="23"/>
  <c r="C10" i="23"/>
  <c r="B5" i="20" s="1"/>
  <c r="E9" i="23"/>
  <c r="D9" i="23"/>
  <c r="C9" i="23"/>
  <c r="E8" i="23"/>
  <c r="D8" i="23"/>
  <c r="B7" i="17" s="1"/>
  <c r="C8" i="23"/>
  <c r="B5" i="17" s="1"/>
  <c r="E7" i="23"/>
  <c r="D7" i="23"/>
  <c r="B7" i="16" s="1"/>
  <c r="C7" i="23"/>
  <c r="B5" i="16" s="1"/>
  <c r="E6" i="23"/>
  <c r="D6" i="23"/>
  <c r="C6" i="23"/>
  <c r="B5" i="14" s="1"/>
  <c r="E5" i="23"/>
  <c r="D5" i="23"/>
  <c r="C5" i="23"/>
  <c r="B5" i="13" s="1"/>
  <c r="E4" i="23"/>
  <c r="D4" i="23"/>
  <c r="B7" i="12" s="1"/>
  <c r="C4" i="23"/>
  <c r="B5" i="12" s="1"/>
  <c r="E3" i="23"/>
  <c r="D3" i="23"/>
  <c r="B7" i="11" s="1"/>
  <c r="C3" i="23"/>
  <c r="B5" i="11" s="1"/>
  <c r="E2" i="23"/>
  <c r="D2" i="23"/>
  <c r="C2" i="23"/>
  <c r="B7" i="13" l="1"/>
  <c r="B7" i="28"/>
  <c r="B7" i="14"/>
  <c r="B7" i="29"/>
  <c r="B5" i="9"/>
  <c r="B5" i="10"/>
  <c r="B7" i="9"/>
  <c r="B7" i="10"/>
  <c r="B7" i="20"/>
  <c r="I35" i="21"/>
  <c r="I34" i="21"/>
  <c r="I33" i="21"/>
  <c r="H33" i="21"/>
  <c r="I32" i="21"/>
  <c r="I29" i="21"/>
  <c r="I30" i="21"/>
  <c r="I28" i="21"/>
  <c r="H28" i="21"/>
  <c r="I27" i="21"/>
  <c r="B38" i="21"/>
  <c r="B36" i="21"/>
  <c r="B26" i="21"/>
  <c r="C14" i="21"/>
  <c r="F15" i="21"/>
  <c r="C16" i="21"/>
  <c r="C15" i="21"/>
  <c r="I39" i="21"/>
  <c r="G39" i="21"/>
  <c r="H39" i="21"/>
  <c r="B39" i="21"/>
  <c r="I38" i="21"/>
  <c r="G38" i="21"/>
  <c r="H38" i="21"/>
  <c r="I37" i="21"/>
  <c r="G37" i="21"/>
  <c r="H37" i="21"/>
  <c r="I36" i="21"/>
  <c r="G36" i="21"/>
  <c r="H36" i="21"/>
  <c r="I31" i="21"/>
  <c r="G31" i="21"/>
  <c r="H31" i="21"/>
  <c r="I26" i="21"/>
  <c r="G26" i="21"/>
  <c r="H26" i="21"/>
  <c r="I25" i="21"/>
  <c r="I23" i="21"/>
  <c r="H23" i="21"/>
  <c r="I24" i="21"/>
  <c r="I22" i="21"/>
  <c r="B7" i="21"/>
  <c r="B5" i="21"/>
  <c r="I40" i="21" l="1"/>
  <c r="I41" i="21" s="1"/>
  <c r="I42" i="21" s="1"/>
  <c r="C18" i="21" s="1"/>
  <c r="I40" i="20" l="1"/>
  <c r="B40" i="20"/>
  <c r="I39" i="20"/>
  <c r="B39" i="20"/>
  <c r="I38" i="20"/>
  <c r="B38" i="20"/>
  <c r="I37" i="20"/>
  <c r="B37" i="20"/>
  <c r="I36" i="20"/>
  <c r="B36" i="20"/>
  <c r="I35" i="20"/>
  <c r="B35" i="20"/>
  <c r="I34" i="20"/>
  <c r="B34" i="20"/>
  <c r="I33" i="20"/>
  <c r="B33" i="20"/>
  <c r="I32" i="20"/>
  <c r="B32" i="20"/>
  <c r="I31" i="20"/>
  <c r="B31" i="20"/>
  <c r="I30" i="20"/>
  <c r="B30" i="20"/>
  <c r="I29" i="20"/>
  <c r="B29" i="20"/>
  <c r="I28" i="20"/>
  <c r="I27" i="20"/>
  <c r="C14" i="20"/>
  <c r="I41" i="20" l="1"/>
  <c r="F20" i="19"/>
  <c r="F19" i="19"/>
  <c r="F17" i="19"/>
  <c r="F16" i="19"/>
  <c r="F15" i="19"/>
  <c r="B7" i="19"/>
  <c r="B5" i="19"/>
  <c r="I42" i="20" l="1"/>
  <c r="I43" i="20" s="1"/>
  <c r="C18" i="20" s="1"/>
  <c r="I29" i="17"/>
  <c r="I30" i="17"/>
  <c r="I31" i="17"/>
  <c r="I32" i="17"/>
  <c r="I33" i="17"/>
  <c r="I34" i="17"/>
  <c r="I35" i="17"/>
  <c r="I36" i="17"/>
  <c r="I37" i="17"/>
  <c r="I38" i="17"/>
  <c r="I39" i="17"/>
  <c r="I40" i="17"/>
  <c r="I28" i="17"/>
  <c r="B29" i="17"/>
  <c r="B30" i="17"/>
  <c r="B31" i="17"/>
  <c r="B32" i="17"/>
  <c r="B33" i="17"/>
  <c r="B34" i="17"/>
  <c r="B35" i="17"/>
  <c r="B36" i="17"/>
  <c r="B37" i="17"/>
  <c r="B38" i="17"/>
  <c r="B39" i="17"/>
  <c r="B40" i="17"/>
  <c r="I27" i="17" l="1"/>
  <c r="C14" i="17"/>
  <c r="I41" i="17" l="1"/>
  <c r="I40" i="16"/>
  <c r="B40" i="16"/>
  <c r="I39" i="16"/>
  <c r="B39" i="16"/>
  <c r="I38" i="16"/>
  <c r="B38" i="16"/>
  <c r="B37" i="16"/>
  <c r="B36" i="16"/>
  <c r="B35" i="16"/>
  <c r="B34" i="16"/>
  <c r="B33" i="16"/>
  <c r="B32" i="16"/>
  <c r="B31" i="16"/>
  <c r="B30" i="16"/>
  <c r="I29" i="16"/>
  <c r="B29" i="16"/>
  <c r="I28" i="16"/>
  <c r="B28" i="16"/>
  <c r="I27" i="16"/>
  <c r="C14" i="16"/>
  <c r="I42" i="17" l="1"/>
  <c r="I43" i="17" s="1"/>
  <c r="C18" i="17" s="1"/>
  <c r="I41" i="16"/>
  <c r="I42" i="16" s="1"/>
  <c r="I43" i="16" l="1"/>
  <c r="C18" i="16" s="1"/>
  <c r="I40" i="14"/>
  <c r="B40" i="14"/>
  <c r="I39" i="14"/>
  <c r="B39" i="14"/>
  <c r="I38" i="14"/>
  <c r="B38" i="14"/>
  <c r="B37" i="14"/>
  <c r="B36" i="14"/>
  <c r="B35" i="14"/>
  <c r="B34" i="14"/>
  <c r="B33" i="14"/>
  <c r="B32" i="14"/>
  <c r="B31" i="14"/>
  <c r="B30" i="14"/>
  <c r="I29" i="14"/>
  <c r="B29" i="14"/>
  <c r="I28" i="14"/>
  <c r="B28" i="14"/>
  <c r="I27" i="14"/>
  <c r="C14" i="14"/>
  <c r="I41" i="14" l="1"/>
  <c r="I42" i="14" l="1"/>
  <c r="I43" i="14" s="1"/>
  <c r="C18" i="14" s="1"/>
  <c r="B29" i="10"/>
  <c r="B28" i="10"/>
  <c r="I40" i="13" l="1"/>
  <c r="B40" i="13"/>
  <c r="I39" i="13"/>
  <c r="B39" i="13"/>
  <c r="I38" i="13"/>
  <c r="B38" i="13"/>
  <c r="B37" i="13"/>
  <c r="B36" i="13"/>
  <c r="B35" i="13"/>
  <c r="B34" i="13"/>
  <c r="B33" i="13"/>
  <c r="B32" i="13"/>
  <c r="B31" i="13"/>
  <c r="B30" i="13"/>
  <c r="I29" i="13"/>
  <c r="B29" i="13"/>
  <c r="I28" i="13"/>
  <c r="B28" i="13"/>
  <c r="I27" i="13"/>
  <c r="C14" i="13"/>
  <c r="I41" i="13" l="1"/>
  <c r="I42" i="13" s="1"/>
  <c r="I43" i="13" l="1"/>
  <c r="C18" i="13" s="1"/>
  <c r="I40" i="12"/>
  <c r="B40" i="12"/>
  <c r="I39" i="12"/>
  <c r="B39" i="12"/>
  <c r="I38" i="12"/>
  <c r="B38" i="12"/>
  <c r="B37" i="12"/>
  <c r="B36" i="12"/>
  <c r="B35" i="12"/>
  <c r="B34" i="12"/>
  <c r="B33" i="12"/>
  <c r="B32" i="12"/>
  <c r="B31" i="12"/>
  <c r="B30" i="12"/>
  <c r="I29" i="12"/>
  <c r="B29" i="12"/>
  <c r="I28" i="12"/>
  <c r="B28" i="12"/>
  <c r="I27" i="12"/>
  <c r="C14" i="12"/>
  <c r="I41" i="12" l="1"/>
  <c r="C12" i="3"/>
  <c r="I42" i="12" l="1"/>
  <c r="I43" i="12" s="1"/>
  <c r="C18" i="12" s="1"/>
  <c r="F19" i="3"/>
  <c r="F20" i="3"/>
  <c r="F16" i="3"/>
  <c r="F15" i="3"/>
  <c r="I40" i="11" l="1"/>
  <c r="B40" i="11"/>
  <c r="I39" i="11"/>
  <c r="B39" i="11"/>
  <c r="I38" i="11"/>
  <c r="B38" i="11"/>
  <c r="B37" i="11"/>
  <c r="B36" i="11"/>
  <c r="B35" i="11"/>
  <c r="B34" i="11"/>
  <c r="B33" i="11"/>
  <c r="B32" i="11"/>
  <c r="B31" i="11"/>
  <c r="B30" i="11"/>
  <c r="I29" i="11"/>
  <c r="B29" i="11"/>
  <c r="I28" i="11"/>
  <c r="B28" i="11"/>
  <c r="I27" i="11"/>
  <c r="C14" i="11"/>
  <c r="I40" i="10"/>
  <c r="B40" i="10"/>
  <c r="I39" i="10"/>
  <c r="B39" i="10"/>
  <c r="I38" i="10"/>
  <c r="B38" i="10"/>
  <c r="B37" i="10"/>
  <c r="B36" i="10"/>
  <c r="B35" i="10"/>
  <c r="B34" i="10"/>
  <c r="B33" i="10"/>
  <c r="B32" i="10"/>
  <c r="B31" i="10"/>
  <c r="B30" i="10"/>
  <c r="I29" i="10"/>
  <c r="I28" i="10"/>
  <c r="I27" i="10"/>
  <c r="C14" i="10"/>
  <c r="F28" i="9"/>
  <c r="I28" i="9" s="1"/>
  <c r="F29" i="9"/>
  <c r="I29" i="9" s="1"/>
  <c r="F30" i="9"/>
  <c r="F31" i="9"/>
  <c r="F32" i="9"/>
  <c r="F33" i="9"/>
  <c r="F34" i="9"/>
  <c r="F35" i="9"/>
  <c r="F36" i="9"/>
  <c r="F37" i="9"/>
  <c r="F38" i="9"/>
  <c r="F39" i="9"/>
  <c r="F40" i="9"/>
  <c r="D28" i="9"/>
  <c r="D29" i="9"/>
  <c r="D30" i="9"/>
  <c r="D31" i="9"/>
  <c r="D32" i="9"/>
  <c r="D33" i="9"/>
  <c r="D34" i="9"/>
  <c r="D35" i="9"/>
  <c r="D36" i="9"/>
  <c r="D37" i="9"/>
  <c r="D38" i="9"/>
  <c r="D39" i="9"/>
  <c r="D40" i="9"/>
  <c r="B30" i="9"/>
  <c r="B31" i="9"/>
  <c r="B32" i="9"/>
  <c r="B33" i="9"/>
  <c r="B34" i="9"/>
  <c r="B35" i="9"/>
  <c r="B36" i="9"/>
  <c r="B37" i="9"/>
  <c r="B38" i="9"/>
  <c r="B39" i="9"/>
  <c r="B40" i="9"/>
  <c r="D27" i="9"/>
  <c r="C14" i="9"/>
  <c r="B7" i="3"/>
  <c r="B5" i="3"/>
  <c r="I41" i="10" l="1"/>
  <c r="I41" i="11"/>
  <c r="I41" i="9"/>
  <c r="C16" i="3" l="1"/>
  <c r="I42" i="9"/>
  <c r="I42" i="11"/>
  <c r="I43" i="11" s="1"/>
  <c r="C18" i="11" s="1"/>
  <c r="I42" i="10"/>
  <c r="I43" i="10" s="1"/>
  <c r="C18" i="10" s="1"/>
  <c r="I43" i="9"/>
  <c r="C18" i="9" s="1"/>
  <c r="C13" i="3" s="1"/>
  <c r="C17" i="19" l="1"/>
  <c r="C13" i="19" s="1"/>
  <c r="C17" i="3"/>
</calcChain>
</file>

<file path=xl/sharedStrings.xml><?xml version="1.0" encoding="utf-8"?>
<sst xmlns="http://schemas.openxmlformats.org/spreadsheetml/2006/main" count="526" uniqueCount="142">
  <si>
    <t>※請求明細をご確認のうえ、お振込期日までに上記口座へお振込みをお願いいたします。</t>
    <rPh sb="1" eb="3">
      <t>セイキュウ</t>
    </rPh>
    <rPh sb="14" eb="16">
      <t>フリコミ</t>
    </rPh>
    <rPh sb="16" eb="18">
      <t>キジツ</t>
    </rPh>
    <rPh sb="21" eb="23">
      <t>ジョウキ</t>
    </rPh>
    <rPh sb="23" eb="25">
      <t>コウザ</t>
    </rPh>
    <phoneticPr fontId="4"/>
  </si>
  <si>
    <t>請求明細</t>
    <rPh sb="0" eb="2">
      <t>セイキュウ</t>
    </rPh>
    <rPh sb="2" eb="4">
      <t>メイサイ</t>
    </rPh>
    <phoneticPr fontId="4"/>
  </si>
  <si>
    <t>単価</t>
    <rPh sb="0" eb="2">
      <t>タンカ</t>
    </rPh>
    <phoneticPr fontId="4"/>
  </si>
  <si>
    <t>数量</t>
    <rPh sb="0" eb="2">
      <t>スウリョウ</t>
    </rPh>
    <phoneticPr fontId="4"/>
  </si>
  <si>
    <t>金額</t>
    <rPh sb="0" eb="2">
      <t>キンガク</t>
    </rPh>
    <phoneticPr fontId="4"/>
  </si>
  <si>
    <t>小計</t>
    <rPh sb="0" eb="2">
      <t>ショウケイ</t>
    </rPh>
    <phoneticPr fontId="4"/>
  </si>
  <si>
    <t>消費税</t>
    <rPh sb="0" eb="3">
      <t>ショウヒゼイ</t>
    </rPh>
    <phoneticPr fontId="4"/>
  </si>
  <si>
    <t>合計</t>
    <rPh sb="0" eb="2">
      <t>ゴウケイ</t>
    </rPh>
    <phoneticPr fontId="4"/>
  </si>
  <si>
    <t>備考</t>
    <rPh sb="0" eb="2">
      <t>ビコウ</t>
    </rPh>
    <phoneticPr fontId="4"/>
  </si>
  <si>
    <t>領収書</t>
    <rPh sb="0" eb="2">
      <t>リョウシュウ</t>
    </rPh>
    <rPh sb="2" eb="3">
      <t>ショ</t>
    </rPh>
    <phoneticPr fontId="4"/>
  </si>
  <si>
    <t>源泉徴収税</t>
    <rPh sb="0" eb="2">
      <t>ゲンセン</t>
    </rPh>
    <rPh sb="2" eb="4">
      <t>チョウシュウ</t>
    </rPh>
    <rPh sb="4" eb="5">
      <t>ゼイ</t>
    </rPh>
    <phoneticPr fontId="4"/>
  </si>
  <si>
    <t>単位</t>
    <rPh sb="0" eb="2">
      <t>タンイ</t>
    </rPh>
    <phoneticPr fontId="4"/>
  </si>
  <si>
    <t>件名</t>
    <rPh sb="0" eb="2">
      <t>ケンメイ</t>
    </rPh>
    <phoneticPr fontId="4"/>
  </si>
  <si>
    <t>振込先口座</t>
    <rPh sb="0" eb="3">
      <t>フリコミサキ</t>
    </rPh>
    <rPh sb="3" eb="5">
      <t>コウザ</t>
    </rPh>
    <phoneticPr fontId="4"/>
  </si>
  <si>
    <r>
      <t xml:space="preserve">ご請求金額
</t>
    </r>
    <r>
      <rPr>
        <sz val="8"/>
        <rFont val="メイリオ"/>
        <family val="3"/>
        <charset val="128"/>
      </rPr>
      <t>（消費税込）</t>
    </r>
    <rPh sb="1" eb="3">
      <t>セイキュウ</t>
    </rPh>
    <rPh sb="3" eb="5">
      <t>キンガク</t>
    </rPh>
    <rPh sb="7" eb="9">
      <t>ショウヒ</t>
    </rPh>
    <rPh sb="9" eb="10">
      <t>ゼイ</t>
    </rPh>
    <rPh sb="10" eb="11">
      <t>コミ</t>
    </rPh>
    <phoneticPr fontId="4"/>
  </si>
  <si>
    <t>※申し訳ございませんがお振込手数料をご負担いただきますようお願いいたします。</t>
    <rPh sb="1" eb="2">
      <t>モウ</t>
    </rPh>
    <rPh sb="3" eb="4">
      <t>ワケ</t>
    </rPh>
    <phoneticPr fontId="4"/>
  </si>
  <si>
    <t>下記、正に領収いたしました。</t>
    <rPh sb="3" eb="4">
      <t>マサ</t>
    </rPh>
    <rPh sb="5" eb="7">
      <t>リョウシュウ</t>
    </rPh>
    <phoneticPr fontId="4"/>
  </si>
  <si>
    <r>
      <t xml:space="preserve">合計金額
</t>
    </r>
    <r>
      <rPr>
        <sz val="8"/>
        <rFont val="メイリオ"/>
        <family val="3"/>
        <charset val="128"/>
      </rPr>
      <t>（消費税込）</t>
    </r>
    <rPh sb="0" eb="2">
      <t>ゴウケイ</t>
    </rPh>
    <rPh sb="2" eb="4">
      <t>キンガク</t>
    </rPh>
    <rPh sb="6" eb="8">
      <t>ショウヒ</t>
    </rPh>
    <rPh sb="8" eb="9">
      <t>ゼイ</t>
    </rPh>
    <rPh sb="9" eb="10">
      <t>コミ</t>
    </rPh>
    <phoneticPr fontId="4"/>
  </si>
  <si>
    <t>商品No</t>
    <rPh sb="0" eb="2">
      <t>ショウヒン</t>
    </rPh>
    <phoneticPr fontId="4"/>
  </si>
  <si>
    <t>P101</t>
    <phoneticPr fontId="4"/>
  </si>
  <si>
    <t>M002</t>
    <phoneticPr fontId="4"/>
  </si>
  <si>
    <t>PCトラブル メール相談</t>
    <rPh sb="10" eb="12">
      <t>ソウダン</t>
    </rPh>
    <phoneticPr fontId="4"/>
  </si>
  <si>
    <t>請求書</t>
    <phoneticPr fontId="4"/>
  </si>
  <si>
    <t>下記のとおりご請求申し上げます。</t>
    <phoneticPr fontId="4"/>
  </si>
  <si>
    <t>PCコンサルティング及び報告書作成</t>
    <rPh sb="10" eb="11">
      <t>オヨ</t>
    </rPh>
    <rPh sb="12" eb="15">
      <t>ホウコクショ</t>
    </rPh>
    <rPh sb="15" eb="17">
      <t>サクセイ</t>
    </rPh>
    <phoneticPr fontId="4"/>
  </si>
  <si>
    <t>お振込期日</t>
    <phoneticPr fontId="4"/>
  </si>
  <si>
    <t>品目</t>
    <phoneticPr fontId="4"/>
  </si>
  <si>
    <t>M001</t>
    <phoneticPr fontId="4"/>
  </si>
  <si>
    <t>P201</t>
    <phoneticPr fontId="4"/>
  </si>
  <si>
    <t>M003</t>
    <phoneticPr fontId="4"/>
  </si>
  <si>
    <t>PC・プリンタ　トラブル対応</t>
    <rPh sb="12" eb="14">
      <t>タイオウ</t>
    </rPh>
    <phoneticPr fontId="4"/>
  </si>
  <si>
    <t>PCトラブル メール相談(AnyTrans導入）</t>
    <rPh sb="10" eb="12">
      <t>ソウダン</t>
    </rPh>
    <rPh sb="21" eb="23">
      <t>ドウニュウ</t>
    </rPh>
    <phoneticPr fontId="4"/>
  </si>
  <si>
    <t>見積書</t>
    <rPh sb="0" eb="3">
      <t>ミツモリショ</t>
    </rPh>
    <phoneticPr fontId="4"/>
  </si>
  <si>
    <t>下記のとおり、御見積もり申し上げます。</t>
    <rPh sb="7" eb="10">
      <t>オミツ</t>
    </rPh>
    <phoneticPr fontId="4"/>
  </si>
  <si>
    <t>納期</t>
    <rPh sb="0" eb="2">
      <t>ノウキ</t>
    </rPh>
    <phoneticPr fontId="4"/>
  </si>
  <si>
    <t>支払条件</t>
    <rPh sb="0" eb="2">
      <t>シハラ</t>
    </rPh>
    <rPh sb="2" eb="4">
      <t>ジョウケン</t>
    </rPh>
    <phoneticPr fontId="4"/>
  </si>
  <si>
    <t>有効期限</t>
    <rPh sb="0" eb="2">
      <t>ユウコウ</t>
    </rPh>
    <rPh sb="2" eb="4">
      <t>キゲン</t>
    </rPh>
    <phoneticPr fontId="4"/>
  </si>
  <si>
    <t>摘要</t>
    <rPh sb="0" eb="2">
      <t>テキヨウ</t>
    </rPh>
    <phoneticPr fontId="4"/>
  </si>
  <si>
    <t>　office2019　eラーニング用講座の内容の作成</t>
    <rPh sb="18" eb="19">
      <t>ヨウ</t>
    </rPh>
    <rPh sb="19" eb="21">
      <t>コウザ</t>
    </rPh>
    <rPh sb="22" eb="24">
      <t>ナイヨウ</t>
    </rPh>
    <rPh sb="25" eb="27">
      <t>サクセイ</t>
    </rPh>
    <phoneticPr fontId="4"/>
  </si>
  <si>
    <t>合計金額</t>
    <rPh sb="0" eb="2">
      <t>ゴウケイ</t>
    </rPh>
    <rPh sb="2" eb="4">
      <t>キンガク</t>
    </rPh>
    <phoneticPr fontId="4"/>
  </si>
  <si>
    <t>(税込）</t>
    <rPh sb="1" eb="3">
      <t>ゼイコ</t>
    </rPh>
    <phoneticPr fontId="4"/>
  </si>
  <si>
    <t>往復</t>
    <rPh sb="0" eb="2">
      <t>オウフク</t>
    </rPh>
    <phoneticPr fontId="4"/>
  </si>
  <si>
    <t>日</t>
    <rPh sb="0" eb="1">
      <t>ニチ</t>
    </rPh>
    <phoneticPr fontId="4"/>
  </si>
  <si>
    <t>カ月</t>
    <rPh sb="1" eb="2">
      <t>ゲツ</t>
    </rPh>
    <phoneticPr fontId="4"/>
  </si>
  <si>
    <t>カリキュラム作成・テキストおよび問題作成・シナリオ作成</t>
    <rPh sb="6" eb="8">
      <t>サクセイ</t>
    </rPh>
    <phoneticPr fontId="4"/>
  </si>
  <si>
    <t>動画撮影　交通費　4日分（2日＋予備日2日）</t>
    <rPh sb="5" eb="8">
      <t>コウツウヒ</t>
    </rPh>
    <rPh sb="10" eb="11">
      <t>ニチ</t>
    </rPh>
    <rPh sb="11" eb="12">
      <t>ブン</t>
    </rPh>
    <rPh sb="14" eb="15">
      <t>ニチ</t>
    </rPh>
    <rPh sb="16" eb="19">
      <t>ヨビビ</t>
    </rPh>
    <rPh sb="20" eb="21">
      <t>ニチ</t>
    </rPh>
    <phoneticPr fontId="4"/>
  </si>
  <si>
    <t xml:space="preserve">  動画出演　4日分（2日＋予備日2日）</t>
    <rPh sb="2" eb="4">
      <t>ドウガ</t>
    </rPh>
    <rPh sb="4" eb="6">
      <t>シュツエン</t>
    </rPh>
    <rPh sb="8" eb="9">
      <t>ニチ</t>
    </rPh>
    <rPh sb="9" eb="10">
      <t>ブン</t>
    </rPh>
    <phoneticPr fontId="4"/>
  </si>
  <si>
    <t>カリキュラム作成・テキストおよび問題作成・シナリオ作成</t>
    <rPh sb="6" eb="8">
      <t>サクセイ</t>
    </rPh>
    <rPh sb="16" eb="18">
      <t>モンダイ</t>
    </rPh>
    <rPh sb="18" eb="20">
      <t>サクセイ</t>
    </rPh>
    <rPh sb="25" eb="27">
      <t>サクセイ</t>
    </rPh>
    <phoneticPr fontId="4"/>
  </si>
  <si>
    <t>Word2019講座（8時間・MOS非対応）</t>
    <rPh sb="8" eb="10">
      <t>コウザ</t>
    </rPh>
    <rPh sb="12" eb="14">
      <t>ジカン</t>
    </rPh>
    <rPh sb="18" eb="19">
      <t>ヒ</t>
    </rPh>
    <rPh sb="19" eb="21">
      <t>タイオウ</t>
    </rPh>
    <phoneticPr fontId="4"/>
  </si>
  <si>
    <t>PowerPoint2019講座（8時間・MOS非対応）</t>
    <rPh sb="14" eb="16">
      <t>コウザ</t>
    </rPh>
    <rPh sb="18" eb="20">
      <t>ジカン</t>
    </rPh>
    <rPh sb="24" eb="25">
      <t>ヒ</t>
    </rPh>
    <rPh sb="25" eb="27">
      <t>タイオウ</t>
    </rPh>
    <phoneticPr fontId="4"/>
  </si>
  <si>
    <t>Excel2019講座（8時間・MOS非対応）</t>
    <rPh sb="9" eb="11">
      <t>コウザ</t>
    </rPh>
    <rPh sb="13" eb="15">
      <t>ジカン</t>
    </rPh>
    <rPh sb="19" eb="20">
      <t>ヒ</t>
    </rPh>
    <rPh sb="20" eb="22">
      <t>タイオウ</t>
    </rPh>
    <phoneticPr fontId="4"/>
  </si>
  <si>
    <t>なお、上記の講座はすべて「Mos非対応」のため、見積もりも「Mos非対応」にさせていただいています。</t>
    <rPh sb="3" eb="5">
      <t>ジョウキ</t>
    </rPh>
    <rPh sb="6" eb="8">
      <t>コウザ</t>
    </rPh>
    <rPh sb="16" eb="19">
      <t>ヒタイオウ</t>
    </rPh>
    <rPh sb="24" eb="26">
      <t>ミツ</t>
    </rPh>
    <rPh sb="33" eb="36">
      <t>ヒタイオウ</t>
    </rPh>
    <phoneticPr fontId="4"/>
  </si>
  <si>
    <t>カリキュラム内容及び講座時間は、貴社の「Excel2016講座」「Word2016講座」「PowerPoint2016講座」をベースに算出いたしました。</t>
    <rPh sb="6" eb="8">
      <t>ナイヨウ</t>
    </rPh>
    <rPh sb="8" eb="9">
      <t>オヨ</t>
    </rPh>
    <rPh sb="10" eb="12">
      <t>コウザ</t>
    </rPh>
    <rPh sb="12" eb="14">
      <t>ジカン</t>
    </rPh>
    <rPh sb="16" eb="18">
      <t>キシャ</t>
    </rPh>
    <rPh sb="29" eb="31">
      <t>コウザ</t>
    </rPh>
    <rPh sb="41" eb="43">
      <t>コウザ</t>
    </rPh>
    <rPh sb="59" eb="61">
      <t>コウザ</t>
    </rPh>
    <rPh sb="67" eb="69">
      <t>サンシュツ</t>
    </rPh>
    <phoneticPr fontId="4"/>
  </si>
  <si>
    <t>Mos対応をする場合、カリキュラム内容及び講座時間は、貴社の「Excel2013講座」「Word2013講座」をベースに算出いたします。</t>
    <rPh sb="3" eb="5">
      <t>タイオウ</t>
    </rPh>
    <rPh sb="8" eb="10">
      <t>バアイ</t>
    </rPh>
    <rPh sb="40" eb="42">
      <t>コウザ</t>
    </rPh>
    <rPh sb="52" eb="54">
      <t>コウザ</t>
    </rPh>
    <rPh sb="60" eb="62">
      <t>サンシュツ</t>
    </rPh>
    <phoneticPr fontId="4"/>
  </si>
  <si>
    <t>また、1講座あたり2カ月かかります。</t>
    <rPh sb="4" eb="6">
      <t>コウザ</t>
    </rPh>
    <rPh sb="11" eb="12">
      <t>ゲツ</t>
    </rPh>
    <phoneticPr fontId="4"/>
  </si>
  <si>
    <t>差出人情報</t>
    <rPh sb="0" eb="2">
      <t>サシダシ</t>
    </rPh>
    <rPh sb="2" eb="3">
      <t>ニン</t>
    </rPh>
    <rPh sb="3" eb="5">
      <t>ジョウホウ</t>
    </rPh>
    <phoneticPr fontId="4"/>
  </si>
  <si>
    <t>郵便番号</t>
    <rPh sb="0" eb="4">
      <t>ユウビンバンゴウ</t>
    </rPh>
    <phoneticPr fontId="4"/>
  </si>
  <si>
    <t>住所1</t>
    <rPh sb="0" eb="2">
      <t>ジュウショ</t>
    </rPh>
    <phoneticPr fontId="4"/>
  </si>
  <si>
    <t>奈良県香芝市真美ヶ丘7-1-2</t>
    <rPh sb="0" eb="10">
      <t>６３９－０２２３</t>
    </rPh>
    <phoneticPr fontId="4"/>
  </si>
  <si>
    <t>住所2</t>
    <rPh sb="0" eb="2">
      <t>ジュウショ</t>
    </rPh>
    <phoneticPr fontId="4"/>
  </si>
  <si>
    <t>会社名</t>
    <rPh sb="0" eb="3">
      <t>カイシャメイ</t>
    </rPh>
    <phoneticPr fontId="4"/>
  </si>
  <si>
    <t>担当者名</t>
    <rPh sb="0" eb="3">
      <t>タントウシャ</t>
    </rPh>
    <rPh sb="3" eb="4">
      <t>メイ</t>
    </rPh>
    <phoneticPr fontId="4"/>
  </si>
  <si>
    <t>松田　ひとみ</t>
    <phoneticPr fontId="4"/>
  </si>
  <si>
    <t>TEL</t>
    <phoneticPr fontId="4"/>
  </si>
  <si>
    <t>090-8657-6721</t>
    <phoneticPr fontId="4"/>
  </si>
  <si>
    <t>E-mail</t>
    <phoneticPr fontId="4"/>
  </si>
  <si>
    <t>hitomi@1103slabo.com</t>
    <phoneticPr fontId="4"/>
  </si>
  <si>
    <t>振込先情報</t>
    <rPh sb="0" eb="3">
      <t>フリコミサキ</t>
    </rPh>
    <rPh sb="3" eb="5">
      <t>ジョウホウ</t>
    </rPh>
    <phoneticPr fontId="4"/>
  </si>
  <si>
    <t>振込先銀行</t>
    <rPh sb="0" eb="3">
      <t>フリコミサキ</t>
    </rPh>
    <rPh sb="3" eb="5">
      <t>ギンコウ</t>
    </rPh>
    <phoneticPr fontId="4"/>
  </si>
  <si>
    <t>りそな 銀行</t>
    <rPh sb="4" eb="6">
      <t>ギンコウ</t>
    </rPh>
    <phoneticPr fontId="4"/>
  </si>
  <si>
    <t>支店名</t>
    <rPh sb="0" eb="3">
      <t>シテンメイ</t>
    </rPh>
    <phoneticPr fontId="4"/>
  </si>
  <si>
    <t>香芝 支店</t>
    <rPh sb="0" eb="2">
      <t>カシバ</t>
    </rPh>
    <rPh sb="3" eb="5">
      <t>シテン</t>
    </rPh>
    <phoneticPr fontId="4"/>
  </si>
  <si>
    <t>口座番号</t>
    <rPh sb="0" eb="2">
      <t>コウザ</t>
    </rPh>
    <rPh sb="2" eb="4">
      <t>バンゴウ</t>
    </rPh>
    <phoneticPr fontId="4"/>
  </si>
  <si>
    <t>普通　6275173</t>
    <rPh sb="0" eb="2">
      <t>フツウ</t>
    </rPh>
    <phoneticPr fontId="4"/>
  </si>
  <si>
    <t>振込先名</t>
    <rPh sb="0" eb="3">
      <t>フリコミサキ</t>
    </rPh>
    <rPh sb="3" eb="4">
      <t>メイ</t>
    </rPh>
    <phoneticPr fontId="4"/>
  </si>
  <si>
    <t>マツダ　ヒトミ</t>
    <phoneticPr fontId="4"/>
  </si>
  <si>
    <t>請求書番号</t>
    <rPh sb="0" eb="3">
      <t>セイキュウショ</t>
    </rPh>
    <rPh sb="3" eb="5">
      <t>バンゴウ</t>
    </rPh>
    <phoneticPr fontId="4"/>
  </si>
  <si>
    <t>顧客番号</t>
    <rPh sb="0" eb="2">
      <t>コキャク</t>
    </rPh>
    <rPh sb="2" eb="4">
      <t>バンゴウ</t>
    </rPh>
    <phoneticPr fontId="4"/>
  </si>
  <si>
    <t>部署名/担当者名</t>
    <rPh sb="0" eb="2">
      <t>ブショ</t>
    </rPh>
    <rPh sb="2" eb="3">
      <t>メイ</t>
    </rPh>
    <rPh sb="4" eb="7">
      <t>タントウシャ</t>
    </rPh>
    <rPh sb="7" eb="8">
      <t>メイ</t>
    </rPh>
    <phoneticPr fontId="4"/>
  </si>
  <si>
    <t>敬称</t>
    <rPh sb="0" eb="2">
      <t>ケイショウ</t>
    </rPh>
    <phoneticPr fontId="4"/>
  </si>
  <si>
    <t>No</t>
    <phoneticPr fontId="4"/>
  </si>
  <si>
    <t>FAX</t>
    <phoneticPr fontId="4"/>
  </si>
  <si>
    <t>女性共同法律事務所</t>
    <phoneticPr fontId="4"/>
  </si>
  <si>
    <t>宮地</t>
    <rPh sb="0" eb="2">
      <t>ミヤヂ</t>
    </rPh>
    <phoneticPr fontId="4"/>
  </si>
  <si>
    <t>様</t>
    <rPh sb="0" eb="1">
      <t>サマ</t>
    </rPh>
    <phoneticPr fontId="4"/>
  </si>
  <si>
    <t xml:space="preserve">大阪市中央区大手前1-4-2 </t>
    <phoneticPr fontId="4"/>
  </si>
  <si>
    <t>都住創大手前505</t>
    <phoneticPr fontId="4"/>
  </si>
  <si>
    <t>06-6947-1201</t>
    <phoneticPr fontId="4"/>
  </si>
  <si>
    <t>06-6947-1203</t>
    <phoneticPr fontId="4"/>
  </si>
  <si>
    <t>宮地 光子</t>
    <rPh sb="0" eb="2">
      <t>ミヤヂ</t>
    </rPh>
    <rPh sb="3" eb="5">
      <t>ミツコ</t>
    </rPh>
    <phoneticPr fontId="4"/>
  </si>
  <si>
    <t>越堂　静子</t>
    <rPh sb="0" eb="1">
      <t>コシ</t>
    </rPh>
    <rPh sb="1" eb="2">
      <t>ドウ</t>
    </rPh>
    <rPh sb="3" eb="5">
      <t>シズコ</t>
    </rPh>
    <phoneticPr fontId="4"/>
  </si>
  <si>
    <t>大阪市城東区鴫野西1-10-1</t>
    <phoneticPr fontId="4"/>
  </si>
  <si>
    <t>090−9618−7749</t>
    <phoneticPr fontId="4"/>
  </si>
  <si>
    <t>内容</t>
    <rPh sb="0" eb="2">
      <t>ナイヨウ</t>
    </rPh>
    <phoneticPr fontId="4"/>
  </si>
  <si>
    <t>小項目</t>
    <rPh sb="0" eb="1">
      <t>ショウ</t>
    </rPh>
    <rPh sb="1" eb="3">
      <t>コウモク</t>
    </rPh>
    <phoneticPr fontId="4"/>
  </si>
  <si>
    <t>PCコンサルティング</t>
    <phoneticPr fontId="4"/>
  </si>
  <si>
    <t>メール相談</t>
    <rPh sb="3" eb="5">
      <t>ソウダン</t>
    </rPh>
    <phoneticPr fontId="4"/>
  </si>
  <si>
    <t>月</t>
    <rPh sb="0" eb="1">
      <t>ツキ</t>
    </rPh>
    <phoneticPr fontId="4"/>
  </si>
  <si>
    <t>PCトラブル</t>
    <phoneticPr fontId="4"/>
  </si>
  <si>
    <t>案件</t>
    <rPh sb="0" eb="2">
      <t>アンケン</t>
    </rPh>
    <phoneticPr fontId="4"/>
  </si>
  <si>
    <t>メール内容調査、原因対応資料作成</t>
    <rPh sb="3" eb="5">
      <t>ナイヨウ</t>
    </rPh>
    <rPh sb="5" eb="7">
      <t>チョウサ</t>
    </rPh>
    <rPh sb="8" eb="10">
      <t>ゲンイン</t>
    </rPh>
    <rPh sb="10" eb="12">
      <t>タイオウ</t>
    </rPh>
    <rPh sb="12" eb="14">
      <t>シリョウ</t>
    </rPh>
    <rPh sb="14" eb="16">
      <t>サクセイ</t>
    </rPh>
    <phoneticPr fontId="4"/>
  </si>
  <si>
    <t>時間</t>
    <rPh sb="0" eb="2">
      <t>ジカン</t>
    </rPh>
    <phoneticPr fontId="4"/>
  </si>
  <si>
    <t>P001</t>
    <phoneticPr fontId="4"/>
  </si>
  <si>
    <t>○○日訪問分（交通費込み）</t>
    <rPh sb="2" eb="3">
      <t>ニチ</t>
    </rPh>
    <rPh sb="3" eb="5">
      <t>ホウモン</t>
    </rPh>
    <rPh sb="5" eb="6">
      <t>ブン</t>
    </rPh>
    <rPh sb="7" eb="10">
      <t>コウツウヒ</t>
    </rPh>
    <rPh sb="10" eb="11">
      <t>コ</t>
    </rPh>
    <phoneticPr fontId="4"/>
  </si>
  <si>
    <t>PC鑑定</t>
    <phoneticPr fontId="4"/>
  </si>
  <si>
    <t>報告書作成</t>
    <phoneticPr fontId="4"/>
  </si>
  <si>
    <t>事前作成および○○日訪問分</t>
    <rPh sb="0" eb="2">
      <t>ジゼン</t>
    </rPh>
    <rPh sb="2" eb="4">
      <t>サクセイ</t>
    </rPh>
    <rPh sb="9" eb="10">
      <t>ニチ</t>
    </rPh>
    <rPh sb="10" eb="12">
      <t>ホウモン</t>
    </rPh>
    <rPh sb="12" eb="13">
      <t>ブン</t>
    </rPh>
    <phoneticPr fontId="4"/>
  </si>
  <si>
    <t>式</t>
    <rPh sb="0" eb="1">
      <t>シキ</t>
    </rPh>
    <phoneticPr fontId="4"/>
  </si>
  <si>
    <t>PCトラブル メール相談(5/17~6/2）</t>
    <rPh sb="10" eb="12">
      <t>ソウダン</t>
    </rPh>
    <phoneticPr fontId="4"/>
  </si>
  <si>
    <t>PCトラブル・メール相談</t>
    <phoneticPr fontId="4"/>
  </si>
  <si>
    <t>5/17 iPad修理相談</t>
    <rPh sb="9" eb="11">
      <t>シュウリ</t>
    </rPh>
    <rPh sb="11" eb="13">
      <t>ソウダン</t>
    </rPh>
    <phoneticPr fontId="4"/>
  </si>
  <si>
    <t>5/19 機種選定のご相談</t>
    <rPh sb="5" eb="7">
      <t>キシュ</t>
    </rPh>
    <rPh sb="7" eb="9">
      <t>センテイ</t>
    </rPh>
    <rPh sb="11" eb="13">
      <t>ソウダン</t>
    </rPh>
    <phoneticPr fontId="4"/>
  </si>
  <si>
    <t>6/1 Adobe PDFの件</t>
    <rPh sb="14" eb="15">
      <t>ケン</t>
    </rPh>
    <phoneticPr fontId="4"/>
  </si>
  <si>
    <t>〃</t>
    <phoneticPr fontId="4"/>
  </si>
  <si>
    <t>PCトラブル メール相談(7/18~7/31）</t>
    <rPh sb="10" eb="12">
      <t>ソウダン</t>
    </rPh>
    <phoneticPr fontId="4"/>
  </si>
  <si>
    <t>7/18 メールトラブル相談</t>
    <rPh sb="12" eb="14">
      <t>ソウダン</t>
    </rPh>
    <phoneticPr fontId="4"/>
  </si>
  <si>
    <t>PCトラブル メール相談(8/14~8/31）</t>
    <rPh sb="10" eb="12">
      <t>ソウダン</t>
    </rPh>
    <phoneticPr fontId="4"/>
  </si>
  <si>
    <t>8/14 teams招待メールが届かない件</t>
    <rPh sb="10" eb="12">
      <t>ショウタイ</t>
    </rPh>
    <rPh sb="16" eb="17">
      <t>トド</t>
    </rPh>
    <rPh sb="20" eb="21">
      <t>ケン</t>
    </rPh>
    <phoneticPr fontId="4"/>
  </si>
  <si>
    <t>8/21 teamsパスワード変更の件</t>
    <rPh sb="15" eb="17">
      <t>ヘンコウ</t>
    </rPh>
    <rPh sb="18" eb="19">
      <t>ケン</t>
    </rPh>
    <phoneticPr fontId="4"/>
  </si>
  <si>
    <t>M004</t>
    <phoneticPr fontId="4"/>
  </si>
  <si>
    <t>リモートサポート</t>
    <phoneticPr fontId="4"/>
  </si>
  <si>
    <t>M004</t>
    <phoneticPr fontId="4"/>
  </si>
  <si>
    <t>8/22 リモートでのサポート</t>
    <phoneticPr fontId="4"/>
  </si>
  <si>
    <t>PCトラブル メール相談(10月分）</t>
    <rPh sb="10" eb="12">
      <t>ソウダン</t>
    </rPh>
    <rPh sb="15" eb="17">
      <t>ガツブン</t>
    </rPh>
    <phoneticPr fontId="4"/>
  </si>
  <si>
    <t>10/11 Googleドライブ同期の件、電子ハンコの件</t>
    <rPh sb="16" eb="18">
      <t>ドウキ</t>
    </rPh>
    <rPh sb="19" eb="20">
      <t>ケン</t>
    </rPh>
    <rPh sb="21" eb="23">
      <t>デンシ</t>
    </rPh>
    <rPh sb="27" eb="28">
      <t>ケン</t>
    </rPh>
    <phoneticPr fontId="4"/>
  </si>
  <si>
    <t>10/31 Microsoftアカウントの件</t>
    <rPh sb="21" eb="22">
      <t>ケン</t>
    </rPh>
    <phoneticPr fontId="4"/>
  </si>
  <si>
    <t>PCトラブル メール相談(12月分）</t>
    <rPh sb="10" eb="12">
      <t>ソウダン</t>
    </rPh>
    <rPh sb="15" eb="17">
      <t>ガツブン</t>
    </rPh>
    <phoneticPr fontId="4"/>
  </si>
  <si>
    <t>12/20 イヤホンから音がでない件</t>
    <rPh sb="12" eb="13">
      <t>オト</t>
    </rPh>
    <rPh sb="17" eb="18">
      <t>ケン</t>
    </rPh>
    <phoneticPr fontId="4"/>
  </si>
  <si>
    <t>今回は原因がほぼ特定できていたので</t>
    <rPh sb="0" eb="2">
      <t>コンカイ</t>
    </rPh>
    <rPh sb="3" eb="5">
      <t>ゲンイン</t>
    </rPh>
    <rPh sb="8" eb="10">
      <t>トクテイ</t>
    </rPh>
    <phoneticPr fontId="4"/>
  </si>
  <si>
    <t>相談料だけご請求させていただきます。</t>
    <rPh sb="6" eb="8">
      <t>セイキュウ</t>
    </rPh>
    <phoneticPr fontId="4"/>
  </si>
  <si>
    <t>以下の白いセル項目を入力してください</t>
    <rPh sb="0" eb="2">
      <t>イカ</t>
    </rPh>
    <rPh sb="3" eb="4">
      <t>シロ</t>
    </rPh>
    <rPh sb="7" eb="9">
      <t>コウモク</t>
    </rPh>
    <rPh sb="10" eb="12">
      <t>ニュウリョク</t>
    </rPh>
    <phoneticPr fontId="4"/>
  </si>
  <si>
    <t>請求日</t>
    <rPh sb="0" eb="3">
      <t>セイキュウビ</t>
    </rPh>
    <phoneticPr fontId="4"/>
  </si>
  <si>
    <t>請求日</t>
    <rPh sb="0" eb="3">
      <t>セイキュウビ</t>
    </rPh>
    <phoneticPr fontId="4"/>
  </si>
  <si>
    <t>M002</t>
  </si>
  <si>
    <t>2/16 Gmailのメールが「受信トレイ」をスキップする件</t>
  </si>
  <si>
    <t>2/5 レッツノートのネット接続</t>
    <rPh sb="14" eb="16">
      <t>セツゾク</t>
    </rPh>
    <phoneticPr fontId="4"/>
  </si>
  <si>
    <t>2/5  ipadminiのOSアップデートの件</t>
  </si>
  <si>
    <t>PCトラブル メール相談(2月分）</t>
    <rPh sb="10" eb="12">
      <t>ソウダン</t>
    </rPh>
    <rPh sb="14" eb="16">
      <t>ガツブン</t>
    </rPh>
    <phoneticPr fontId="4"/>
  </si>
  <si>
    <t>F001</t>
  </si>
  <si>
    <t>F001</t>
    <phoneticPr fontId="4"/>
  </si>
  <si>
    <t>プログラム作成</t>
    <rPh sb="5" eb="7">
      <t>サクセイ</t>
    </rPh>
    <phoneticPr fontId="4"/>
  </si>
  <si>
    <t>3/5 Gmailエクスポートファイルの作成</t>
    <rPh sb="20" eb="22">
      <t>サクセイ</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</si>
</sst>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76" formatCode="&quot;発行日： &quot;yyyy&quot;年&quot;m&quot;月&quot;d&quot;日&quot;;@"/>
    <numFmt numFmtId="177" formatCode="&quot;請求書番号： &quot;0_);[Red]\(0\)"/>
    <numFmt numFmtId="178" formatCode="&quot;請求日： &quot;yyyy&quot;年&quot;m&quot;月&quot;d&quot;日&quot;;@"/>
    <numFmt numFmtId="179" formatCode="&quot;¥&quot;#,##0&quot;-&quot;;[Red]&quot;¥&quot;\-#,##0&quot;-&quot;"/>
    <numFmt numFmtId="180" formatCode="&quot; &quot;@"/>
    <numFmt numFmtId="181" formatCode="&quot;領収書番号： &quot;0_);[Red]\(0\)"/>
    <numFmt numFmtId="182" formatCode="&quot;  &quot;&quot;但し、&quot;@&quot;として、上記正に領収いたしました。&quot;"/>
    <numFmt numFmtId="183" formatCode="&quot;〒&quot;000\-0000"/>
    <numFmt numFmtId="184" formatCode="&quot;TEL：&quot;@"/>
    <numFmt numFmtId="185" formatCode="&quot;E-mail：&quot;@"/>
    <numFmt numFmtId="186" formatCode="yyyy&quot;年&quot;m&quot;月&quot;d&quot;日&quot;;@"/>
    <numFmt numFmtId="187" formatCode="#,##0.0;[Red]\-#,##0.0"/>
    <numFmt numFmtId="188" formatCode="&quot;No： &quot;0_);[Red]\(0\)"/>
    <numFmt numFmtId="189" formatCode="&quot;見積日： &quot;yyyy&quot;年&quot;m&quot;月&quot;d&quot;日&quot;;@"/>
  </numFmts>
  <fonts count="25" x14ac:knownFonts="1">
    <font>
      <sz val="11"/>
      <name val="ＭＳ Ｐゴシック"/>
      <family val="3"/>
      <charset val="128"/>
    </font>
    <font>
      <sz val="11"/>
      <color theme="1"/>
      <name val="ＭＳ Ｐゴシック"/>
      <family val="2"/>
      <charset val="128"/>
      <scheme val="minor"/>
    </font>
    <font>
      <sz val="11"/>
      <name val="ＭＳ Ｐゴシック"/>
      <family val="3"/>
      <charset val="128"/>
    </font>
    <font>
      <sz val="8"/>
      <name val="メイリオ"/>
      <family val="3"/>
      <charset val="128"/>
    </font>
    <font>
      <sz val="6"/>
      <name val="ＭＳ Ｐゴシック"/>
      <family val="3"/>
      <charset val="128"/>
    </font>
    <font>
      <sz val="14"/>
      <name val="メイリオ"/>
      <family val="3"/>
      <charset val="128"/>
    </font>
    <font>
      <b/>
      <sz val="8"/>
      <name val="メイリオ"/>
      <family val="3"/>
      <charset val="128"/>
    </font>
    <font>
      <sz val="16"/>
      <name val="メイリオ"/>
      <family val="3"/>
      <charset val="128"/>
    </font>
    <font>
      <sz val="8"/>
      <color theme="0"/>
      <name val="メイリオ"/>
      <family val="3"/>
      <charset val="128"/>
    </font>
    <font>
      <sz val="8"/>
      <color theme="1" tint="4.9989318521683403E-2"/>
      <name val="メイリオ"/>
      <family val="3"/>
      <charset val="128"/>
    </font>
    <font>
      <sz val="10"/>
      <name val="メイリオ"/>
      <family val="3"/>
      <charset val="128"/>
    </font>
    <font>
      <b/>
      <sz val="10"/>
      <color theme="1" tint="0.14999847407452621"/>
      <name val="メイリオ"/>
      <family val="3"/>
      <charset val="128"/>
    </font>
    <font>
      <b/>
      <sz val="8"/>
      <color theme="0"/>
      <name val="メイリオ"/>
      <family val="3"/>
      <charset val="128"/>
    </font>
    <font>
      <sz val="8"/>
      <color indexed="10"/>
      <name val="メイリオ"/>
      <family val="3"/>
      <charset val="128"/>
    </font>
    <font>
      <b/>
      <sz val="16"/>
      <color theme="8"/>
      <name val="メイリオ"/>
      <family val="3"/>
      <charset val="128"/>
    </font>
    <font>
      <sz val="11"/>
      <name val="メイリオ"/>
      <family val="3"/>
      <charset val="128"/>
    </font>
    <font>
      <b/>
      <sz val="8"/>
      <color theme="8"/>
      <name val="メイリオ"/>
      <family val="3"/>
      <charset val="128"/>
    </font>
    <font>
      <b/>
      <sz val="10"/>
      <name val="メイリオ"/>
      <family val="3"/>
      <charset val="128"/>
    </font>
    <font>
      <b/>
      <sz val="10"/>
      <color theme="1" tint="4.9989318521683403E-2"/>
      <name val="メイリオ"/>
      <family val="3"/>
      <charset val="128"/>
    </font>
    <font>
      <sz val="10"/>
      <color theme="1"/>
      <name val="メイリオ"/>
      <family val="3"/>
      <charset val="128"/>
    </font>
    <font>
      <b/>
      <sz val="10"/>
      <color theme="0"/>
      <name val="メイリオ"/>
      <family val="3"/>
      <charset val="128"/>
    </font>
    <font>
      <sz val="18"/>
      <name val="メイリオ"/>
      <family val="3"/>
      <charset val="128"/>
    </font>
    <font>
      <sz val="12"/>
      <name val="メイリオ"/>
      <family val="3"/>
      <charset val="128"/>
    </font>
    <font>
      <u/>
      <sz val="11"/>
      <color theme="10"/>
      <name val="ＭＳ Ｐゴシック"/>
      <family val="3"/>
      <charset val="128"/>
    </font>
    <font>
      <sz val="11"/>
      <color rgb="FF000000"/>
      <name val="ＭＳ Ｐゴシック"/>
      <family val="3"/>
      <charset val="128"/>
    </font>
  </fonts>
  <fills count="7">
    <fill>
      <patternFill patternType="none"/>
    </fill>
    <fill>
      <patternFill patternType="gray125"/>
    </fill>
    <fill>
      <patternFill patternType="solid">
        <fgColor theme="0"/>
        <bgColor indexed="64"/>
      </patternFill>
    </fill>
    <fill>
      <patternFill patternType="solid">
        <fgColor theme="0"/>
        <bgColor rgb="FF7999FF"/>
      </patternFill>
    </fill>
    <fill>
      <patternFill patternType="solid">
        <fgColor theme="8" tint="0.59999389629810485"/>
        <bgColor indexed="65"/>
      </patternFill>
    </fill>
    <fill>
      <patternFill patternType="solid">
        <fgColor theme="8"/>
        <bgColor indexed="64"/>
      </patternFill>
    </fill>
    <fill>
      <patternFill patternType="solid">
        <fgColor theme="7" tint="0.59999389629810485"/>
        <bgColor indexed="64"/>
      </patternFill>
    </fill>
  </fills>
  <borders count="24">
    <border>
      <left/>
      <right/>
      <top/>
      <bottom/>
      <diagonal/>
    </border>
    <border>
      <left/>
      <right/>
      <top/>
      <bottom style="thin">
        <color theme="8"/>
      </bottom>
      <diagonal/>
    </border>
    <border>
      <left/>
      <right style="thin">
        <color theme="8"/>
      </right>
      <top/>
      <bottom style="thin">
        <color theme="8"/>
      </bottom>
      <diagonal/>
    </border>
    <border>
      <left/>
      <right style="thin">
        <color theme="8"/>
      </right>
      <top/>
      <bottom/>
      <diagonal/>
    </border>
    <border>
      <left/>
      <right style="dotted">
        <color theme="8"/>
      </right>
      <top/>
      <bottom/>
      <diagonal/>
    </border>
    <border>
      <left style="dotted">
        <color theme="8"/>
      </left>
      <right style="dotted">
        <color theme="8"/>
      </right>
      <top/>
      <bottom/>
      <diagonal/>
    </border>
    <border>
      <left/>
      <right style="dotted">
        <color theme="8"/>
      </right>
      <top/>
      <bottom style="thin">
        <color theme="8"/>
      </bottom>
      <diagonal/>
    </border>
    <border>
      <left style="thin">
        <color theme="8"/>
      </left>
      <right style="thin">
        <color theme="8"/>
      </right>
      <top/>
      <bottom/>
      <diagonal/>
    </border>
    <border>
      <left style="thin">
        <color theme="8"/>
      </left>
      <right/>
      <top/>
      <bottom/>
      <diagonal/>
    </border>
    <border>
      <left style="thin">
        <color theme="8"/>
      </left>
      <right style="thin">
        <color theme="8"/>
      </right>
      <top/>
      <bottom style="thin">
        <color theme="8"/>
      </bottom>
      <diagonal/>
    </border>
    <border>
      <left style="thin">
        <color theme="8"/>
      </left>
      <right/>
      <top/>
      <bottom style="thin">
        <color theme="8"/>
      </bottom>
      <diagonal/>
    </border>
    <border>
      <left/>
      <right/>
      <top style="thin">
        <color theme="8"/>
      </top>
      <bottom style="thick">
        <color theme="8"/>
      </bottom>
      <diagonal/>
    </border>
    <border>
      <left/>
      <right/>
      <top style="thin">
        <color theme="8"/>
      </top>
      <bottom style="thin">
        <color theme="8"/>
      </bottom>
      <diagonal/>
    </border>
    <border>
      <left/>
      <right/>
      <top style="thin">
        <color theme="8" tint="0.59996337778862885"/>
      </top>
      <bottom style="thin">
        <color theme="8" tint="0.59996337778862885"/>
      </bottom>
      <diagonal/>
    </border>
    <border>
      <left/>
      <right/>
      <top style="thin">
        <color theme="8" tint="0.59996337778862885"/>
      </top>
      <bottom/>
      <diagonal/>
    </border>
    <border>
      <left/>
      <right/>
      <top/>
      <bottom style="thin">
        <color theme="8" tint="0.59996337778862885"/>
      </bottom>
      <diagonal/>
    </border>
    <border>
      <left style="dotted">
        <color theme="8"/>
      </left>
      <right/>
      <top/>
      <bottom/>
      <diagonal/>
    </border>
    <border>
      <left style="dotted">
        <color theme="8"/>
      </left>
      <right/>
      <top/>
      <bottom style="thin">
        <color theme="8"/>
      </bottom>
      <diagonal/>
    </border>
    <border>
      <left/>
      <right/>
      <top style="thin">
        <color theme="8"/>
      </top>
      <bottom/>
      <diagonal/>
    </border>
    <border>
      <left style="thin">
        <color theme="8"/>
      </left>
      <right/>
      <top style="thin">
        <color theme="8"/>
      </top>
      <bottom style="thin">
        <color theme="8"/>
      </bottom>
      <diagonal/>
    </border>
    <border>
      <left style="thin">
        <color theme="8"/>
      </left>
      <right/>
      <top style="thin">
        <color theme="8"/>
      </top>
      <bottom style="thick">
        <color theme="8"/>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5">
    <xf numFmtId="0" fontId="0" fillId="0" borderId="0"/>
    <xf numFmtId="38" fontId="2" fillId="0" borderId="0" applyFont="0" applyFill="0" applyBorder="0" applyAlignment="0" applyProtection="0"/>
    <xf numFmtId="0" fontId="1" fillId="4" borderId="0" applyNumberFormat="0" applyBorder="0" applyAlignment="0" applyProtection="0">
      <alignment vertical="center"/>
    </xf>
    <xf numFmtId="0" fontId="23" fillId="0" borderId="0" applyNumberFormat="0" applyFill="0" applyBorder="0" applyAlignment="0" applyProtection="0"/>
    <xf numFmtId="9" fontId="2" fillId="0" borderId="0" applyFont="0" applyFill="0" applyBorder="0" applyAlignment="0" applyProtection="0">
      <alignment vertical="center"/>
    </xf>
  </cellStyleXfs>
  <cellXfs count="234">
    <xf numFmtId="0" fontId="0" fillId="0" borderId="0" xfId="0"/>
    <xf numFmtId="0" fontId="3" fillId="0" borderId="0" xfId="0" applyFont="1" applyAlignment="1">
      <alignment vertical="center"/>
    </xf>
    <xf numFmtId="0" fontId="3" fillId="0" borderId="0" xfId="0" applyFont="1" applyFill="1" applyAlignment="1">
      <alignment vertical="center"/>
    </xf>
    <xf numFmtId="14" fontId="3" fillId="0" borderId="0" xfId="0" applyNumberFormat="1" applyFont="1" applyBorder="1" applyAlignment="1">
      <alignment horizontal="right" vertical="center"/>
    </xf>
    <xf numFmtId="0" fontId="3" fillId="2" borderId="0" xfId="0" applyFont="1" applyFill="1" applyBorder="1" applyAlignment="1">
      <alignment horizontal="center" vertical="center"/>
    </xf>
    <xf numFmtId="179" fontId="7" fillId="2" borderId="0" xfId="0" applyNumberFormat="1" applyFont="1" applyFill="1" applyBorder="1" applyAlignment="1">
      <alignment vertical="center" wrapText="1"/>
    </xf>
    <xf numFmtId="0" fontId="3" fillId="2" borderId="0" xfId="0" applyFont="1" applyFill="1" applyBorder="1" applyAlignment="1">
      <alignment horizontal="right" vertical="center"/>
    </xf>
    <xf numFmtId="0" fontId="3" fillId="2" borderId="0" xfId="0" applyFont="1" applyFill="1" applyAlignment="1">
      <alignment vertical="center"/>
    </xf>
    <xf numFmtId="0" fontId="3" fillId="0" borderId="0" xfId="0" applyFont="1" applyFill="1" applyBorder="1" applyAlignment="1">
      <alignment horizontal="center" vertical="center"/>
    </xf>
    <xf numFmtId="0" fontId="3" fillId="0" borderId="0" xfId="0" applyFont="1" applyFill="1" applyBorder="1" applyAlignment="1">
      <alignment horizontal="center" vertical="center"/>
    </xf>
    <xf numFmtId="0" fontId="9" fillId="0" borderId="0" xfId="0" applyFont="1" applyFill="1" applyBorder="1" applyAlignment="1">
      <alignment horizontal="center" vertical="center"/>
    </xf>
    <xf numFmtId="38" fontId="3" fillId="3" borderId="3" xfId="1" applyFont="1" applyFill="1" applyBorder="1" applyAlignment="1">
      <alignment horizontal="right" vertical="center"/>
    </xf>
    <xf numFmtId="38" fontId="3" fillId="3" borderId="7" xfId="1" applyFont="1" applyFill="1" applyBorder="1" applyAlignment="1">
      <alignment vertical="center"/>
    </xf>
    <xf numFmtId="38" fontId="3" fillId="3" borderId="8" xfId="1" applyFont="1" applyFill="1" applyBorder="1" applyAlignment="1">
      <alignment horizontal="right" vertical="center"/>
    </xf>
    <xf numFmtId="38" fontId="3" fillId="3" borderId="7" xfId="1" applyFont="1" applyFill="1" applyBorder="1" applyAlignment="1">
      <alignment horizontal="right" vertical="center"/>
    </xf>
    <xf numFmtId="38" fontId="3" fillId="3" borderId="2" xfId="1" applyFont="1" applyFill="1" applyBorder="1" applyAlignment="1">
      <alignment horizontal="right" vertical="center"/>
    </xf>
    <xf numFmtId="38" fontId="3" fillId="3" borderId="9" xfId="1" applyFont="1" applyFill="1" applyBorder="1" applyAlignment="1">
      <alignment horizontal="right" vertical="center"/>
    </xf>
    <xf numFmtId="0" fontId="3" fillId="0" borderId="0" xfId="0" applyFont="1" applyAlignment="1">
      <alignment horizontal="left" vertical="center" indent="1"/>
    </xf>
    <xf numFmtId="0" fontId="3" fillId="2" borderId="0" xfId="0" applyFont="1" applyFill="1" applyBorder="1" applyAlignment="1">
      <alignment horizontal="left" vertical="center" indent="1"/>
    </xf>
    <xf numFmtId="0" fontId="11" fillId="2" borderId="0" xfId="0" applyFont="1" applyFill="1" applyBorder="1" applyAlignment="1">
      <alignment horizontal="left" vertical="center" indent="1"/>
    </xf>
    <xf numFmtId="0" fontId="13" fillId="2" borderId="0" xfId="0" applyFont="1" applyFill="1" applyAlignment="1">
      <alignment horizontal="left" vertical="center" indent="1"/>
    </xf>
    <xf numFmtId="179" fontId="3" fillId="0" borderId="1" xfId="1" applyNumberFormat="1" applyFont="1" applyFill="1" applyBorder="1" applyAlignment="1">
      <alignment horizontal="right" vertical="center" indent="1"/>
    </xf>
    <xf numFmtId="179" fontId="3" fillId="0" borderId="12" xfId="1" applyNumberFormat="1" applyFont="1" applyFill="1" applyBorder="1" applyAlignment="1">
      <alignment horizontal="right" vertical="center" indent="1"/>
    </xf>
    <xf numFmtId="0" fontId="16" fillId="0" borderId="1" xfId="0" applyFont="1" applyFill="1" applyBorder="1" applyAlignment="1">
      <alignment horizontal="left" vertical="center" indent="1"/>
    </xf>
    <xf numFmtId="0" fontId="16" fillId="0" borderId="12" xfId="0" applyNumberFormat="1" applyFont="1" applyFill="1" applyBorder="1" applyAlignment="1">
      <alignment horizontal="left" vertical="center" indent="1"/>
    </xf>
    <xf numFmtId="0" fontId="3" fillId="0" borderId="0" xfId="0" applyFont="1" applyBorder="1" applyAlignment="1">
      <alignment horizontal="left" vertical="center" indent="1"/>
    </xf>
    <xf numFmtId="0" fontId="3" fillId="0" borderId="0" xfId="0" applyFont="1" applyAlignment="1">
      <alignment horizontal="left" vertical="center" indent="1" shrinkToFit="1"/>
    </xf>
    <xf numFmtId="0" fontId="3" fillId="0" borderId="0" xfId="0" applyFont="1" applyAlignment="1">
      <alignment vertical="center" shrinkToFit="1"/>
    </xf>
    <xf numFmtId="0" fontId="17" fillId="2" borderId="0" xfId="0" applyFont="1" applyFill="1" applyAlignment="1">
      <alignment horizontal="left" vertical="center" indent="1"/>
    </xf>
    <xf numFmtId="0" fontId="3" fillId="0" borderId="0" xfId="0" applyFont="1" applyFill="1" applyAlignment="1">
      <alignment horizontal="left" vertical="center" indent="3"/>
    </xf>
    <xf numFmtId="0" fontId="3" fillId="0" borderId="0" xfId="0" applyFont="1" applyBorder="1" applyAlignment="1">
      <alignment horizontal="left" vertical="center" indent="3"/>
    </xf>
    <xf numFmtId="0" fontId="3" fillId="0" borderId="0" xfId="0" applyFont="1" applyFill="1" applyBorder="1" applyAlignment="1">
      <alignment horizontal="left" vertical="center" indent="3"/>
    </xf>
    <xf numFmtId="182" fontId="6" fillId="2" borderId="0" xfId="0" applyNumberFormat="1" applyFont="1" applyFill="1" applyBorder="1" applyAlignment="1">
      <alignment horizontal="left" vertical="center" indent="1" shrinkToFit="1"/>
    </xf>
    <xf numFmtId="0" fontId="3" fillId="5" borderId="0" xfId="0" applyFont="1" applyFill="1" applyAlignment="1">
      <alignment horizontal="center" vertical="center"/>
    </xf>
    <xf numFmtId="183" fontId="3" fillId="2" borderId="0" xfId="0" applyNumberFormat="1" applyFont="1" applyFill="1" applyAlignment="1">
      <alignment vertical="center"/>
    </xf>
    <xf numFmtId="0" fontId="10" fillId="0" borderId="0" xfId="0" applyFont="1" applyAlignment="1">
      <alignment vertical="center" shrinkToFit="1"/>
    </xf>
    <xf numFmtId="184" fontId="3" fillId="0" borderId="0" xfId="0" applyNumberFormat="1" applyFont="1" applyFill="1" applyAlignment="1">
      <alignment vertical="center" shrinkToFit="1"/>
    </xf>
    <xf numFmtId="185" fontId="3" fillId="0" borderId="0" xfId="0" applyNumberFormat="1" applyFont="1" applyFill="1" applyAlignment="1">
      <alignment vertical="center" shrinkToFit="1"/>
    </xf>
    <xf numFmtId="0" fontId="3" fillId="0" borderId="0" xfId="0" applyFont="1" applyFill="1" applyAlignment="1">
      <alignment horizontal="left" vertical="center" indent="1"/>
    </xf>
    <xf numFmtId="0" fontId="3" fillId="0" borderId="0" xfId="0" applyFont="1" applyFill="1" applyBorder="1" applyAlignment="1">
      <alignment horizontal="left" vertical="center" indent="1"/>
    </xf>
    <xf numFmtId="0" fontId="12" fillId="0" borderId="18" xfId="0" applyFont="1" applyFill="1" applyBorder="1" applyAlignment="1">
      <alignment horizontal="left" vertical="center" indent="1"/>
    </xf>
    <xf numFmtId="179" fontId="8" fillId="0" borderId="18" xfId="1" applyNumberFormat="1" applyFont="1" applyFill="1" applyBorder="1" applyAlignment="1">
      <alignment horizontal="right" vertical="center" indent="1"/>
    </xf>
    <xf numFmtId="0" fontId="3" fillId="0" borderId="0" xfId="0" applyFont="1" applyBorder="1" applyAlignment="1">
      <alignment vertical="center"/>
    </xf>
    <xf numFmtId="0" fontId="18" fillId="0" borderId="13" xfId="0" applyFont="1" applyFill="1" applyBorder="1" applyAlignment="1">
      <alignment horizontal="distributed" indent="1"/>
    </xf>
    <xf numFmtId="0" fontId="10" fillId="0" borderId="0" xfId="0" applyFont="1" applyAlignment="1">
      <alignment horizontal="center" vertical="center"/>
    </xf>
    <xf numFmtId="0" fontId="20" fillId="5" borderId="7" xfId="0" applyFont="1" applyFill="1" applyBorder="1" applyAlignment="1">
      <alignment horizontal="center" vertical="top"/>
    </xf>
    <xf numFmtId="0" fontId="20" fillId="5" borderId="8" xfId="0" applyFont="1" applyFill="1" applyBorder="1" applyAlignment="1">
      <alignment horizontal="center" vertical="top"/>
    </xf>
    <xf numFmtId="38" fontId="3" fillId="3" borderId="8" xfId="1" applyFont="1" applyFill="1" applyBorder="1" applyAlignment="1">
      <alignment horizontal="center" vertical="center"/>
    </xf>
    <xf numFmtId="38" fontId="3" fillId="3" borderId="10" xfId="1" applyFont="1" applyFill="1" applyBorder="1" applyAlignment="1">
      <alignment horizontal="center" vertical="center"/>
    </xf>
    <xf numFmtId="38" fontId="3" fillId="3" borderId="7" xfId="1" applyFont="1" applyFill="1" applyBorder="1" applyAlignment="1">
      <alignment horizontal="center" vertical="center"/>
    </xf>
    <xf numFmtId="38" fontId="3" fillId="2" borderId="19" xfId="1" applyFont="1" applyFill="1" applyBorder="1" applyAlignment="1">
      <alignment vertical="center"/>
    </xf>
    <xf numFmtId="38" fontId="3" fillId="2" borderId="20" xfId="1" applyFont="1" applyFill="1" applyBorder="1" applyAlignment="1">
      <alignment vertical="center"/>
    </xf>
    <xf numFmtId="0" fontId="3" fillId="0" borderId="0" xfId="0" applyFont="1" applyBorder="1" applyAlignment="1">
      <alignment vertical="center" shrinkToFit="1"/>
    </xf>
    <xf numFmtId="0" fontId="3" fillId="0" borderId="0" xfId="0" applyFont="1" applyAlignment="1">
      <alignment horizontal="left" vertical="center" indent="3"/>
    </xf>
    <xf numFmtId="0" fontId="3" fillId="0" borderId="0" xfId="0" applyFont="1" applyAlignment="1">
      <alignment horizontal="left" vertical="center" indent="3" shrinkToFit="1"/>
    </xf>
    <xf numFmtId="0" fontId="5" fillId="0" borderId="0" xfId="0" applyFont="1" applyFill="1" applyBorder="1" applyAlignment="1">
      <alignment horizontal="left" vertical="center" indent="1" shrinkToFit="1"/>
    </xf>
    <xf numFmtId="0" fontId="3" fillId="0" borderId="0" xfId="0" applyFont="1" applyFill="1" applyBorder="1" applyAlignment="1">
      <alignment horizontal="center" vertical="center"/>
    </xf>
    <xf numFmtId="0" fontId="3" fillId="0" borderId="0" xfId="0" applyFont="1" applyAlignment="1">
      <alignment horizontal="left" vertical="center" indent="1" shrinkToFit="1"/>
    </xf>
    <xf numFmtId="38" fontId="3" fillId="3" borderId="10" xfId="1" applyFont="1" applyFill="1" applyBorder="1" applyAlignment="1">
      <alignment horizontal="right" vertical="center"/>
    </xf>
    <xf numFmtId="0" fontId="3" fillId="0" borderId="0" xfId="0" applyFont="1" applyAlignment="1">
      <alignment horizontal="left" vertical="center" indent="3" shrinkToFit="1"/>
    </xf>
    <xf numFmtId="0" fontId="5" fillId="0" borderId="0" xfId="0" applyFont="1" applyFill="1" applyBorder="1" applyAlignment="1">
      <alignment horizontal="left" vertical="center" indent="1" shrinkToFit="1"/>
    </xf>
    <xf numFmtId="0" fontId="3" fillId="0" borderId="0" xfId="0" applyFont="1" applyAlignment="1">
      <alignment horizontal="left" vertical="center" indent="3"/>
    </xf>
    <xf numFmtId="0" fontId="3" fillId="0" borderId="0" xfId="0" applyFont="1" applyFill="1" applyBorder="1" applyAlignment="1">
      <alignment horizontal="center" vertical="center"/>
    </xf>
    <xf numFmtId="0" fontId="3" fillId="0" borderId="0" xfId="0" applyFont="1" applyAlignment="1">
      <alignment horizontal="left" vertical="center" indent="1" shrinkToFit="1"/>
    </xf>
    <xf numFmtId="0" fontId="5" fillId="0" borderId="0" xfId="0" applyFont="1" applyFill="1" applyBorder="1" applyAlignment="1">
      <alignment horizontal="left" vertical="center" indent="1" shrinkToFit="1"/>
    </xf>
    <xf numFmtId="0" fontId="3" fillId="0" borderId="0" xfId="0" applyFont="1" applyAlignment="1">
      <alignment horizontal="left" vertical="center" indent="3"/>
    </xf>
    <xf numFmtId="0" fontId="3" fillId="0" borderId="0" xfId="0" applyFont="1" applyFill="1" applyBorder="1" applyAlignment="1">
      <alignment horizontal="center" vertical="center"/>
    </xf>
    <xf numFmtId="0" fontId="3" fillId="0" borderId="0" xfId="0" applyFont="1" applyAlignment="1">
      <alignment horizontal="left" vertical="center" indent="3" shrinkToFit="1"/>
    </xf>
    <xf numFmtId="0" fontId="3" fillId="0" borderId="0" xfId="0" applyFont="1" applyAlignment="1">
      <alignment horizontal="left" vertical="center" indent="1" shrinkToFit="1"/>
    </xf>
    <xf numFmtId="0" fontId="5" fillId="0" borderId="0" xfId="0" applyFont="1" applyFill="1" applyBorder="1" applyAlignment="1">
      <alignment horizontal="left" vertical="center" indent="1" shrinkToFit="1"/>
    </xf>
    <xf numFmtId="0" fontId="3" fillId="0" borderId="0" xfId="0" applyFont="1" applyAlignment="1">
      <alignment horizontal="left" vertical="center" indent="3"/>
    </xf>
    <xf numFmtId="0" fontId="3" fillId="0" borderId="0" xfId="0" applyFont="1" applyFill="1" applyBorder="1" applyAlignment="1">
      <alignment horizontal="center" vertical="center"/>
    </xf>
    <xf numFmtId="0" fontId="3" fillId="0" borderId="0" xfId="0" applyFont="1" applyAlignment="1">
      <alignment horizontal="left" vertical="center" indent="3" shrinkToFit="1"/>
    </xf>
    <xf numFmtId="0" fontId="3" fillId="0" borderId="0" xfId="0" applyFont="1" applyAlignment="1">
      <alignment horizontal="left" vertical="center" indent="1" shrinkToFit="1"/>
    </xf>
    <xf numFmtId="0" fontId="5" fillId="0" borderId="0" xfId="0" applyFont="1" applyFill="1" applyBorder="1" applyAlignment="1">
      <alignment horizontal="left" vertical="center" indent="1" shrinkToFit="1"/>
    </xf>
    <xf numFmtId="0" fontId="3" fillId="0" borderId="0" xfId="0" applyFont="1" applyAlignment="1">
      <alignment horizontal="left" vertical="center" indent="3"/>
    </xf>
    <xf numFmtId="0" fontId="3" fillId="0" borderId="0" xfId="0" applyFont="1" applyFill="1" applyBorder="1" applyAlignment="1">
      <alignment horizontal="center" vertical="center"/>
    </xf>
    <xf numFmtId="0" fontId="3" fillId="0" borderId="0" xfId="0" applyFont="1" applyAlignment="1">
      <alignment horizontal="left" vertical="center" indent="3" shrinkToFit="1"/>
    </xf>
    <xf numFmtId="0" fontId="3" fillId="0" borderId="0" xfId="0" applyFont="1" applyAlignment="1">
      <alignment horizontal="left" vertical="center" indent="1" shrinkToFit="1"/>
    </xf>
    <xf numFmtId="0" fontId="3" fillId="0" borderId="0" xfId="0" applyFont="1" applyAlignment="1">
      <alignment horizontal="left" vertical="center" indent="3" shrinkToFit="1"/>
    </xf>
    <xf numFmtId="0" fontId="5" fillId="0" borderId="0" xfId="0" applyFont="1" applyFill="1" applyBorder="1" applyAlignment="1">
      <alignment horizontal="left" vertical="center" indent="1" shrinkToFit="1"/>
    </xf>
    <xf numFmtId="0" fontId="3" fillId="0" borderId="0" xfId="0" applyFont="1" applyAlignment="1">
      <alignment horizontal="left" vertical="center" indent="3"/>
    </xf>
    <xf numFmtId="0" fontId="3" fillId="0" borderId="0" xfId="0" applyFont="1" applyFill="1" applyBorder="1" applyAlignment="1">
      <alignment horizontal="center" vertical="center"/>
    </xf>
    <xf numFmtId="0" fontId="3" fillId="0" borderId="0" xfId="0" applyFont="1" applyAlignment="1">
      <alignment horizontal="left" vertical="center" indent="1" shrinkToFit="1"/>
    </xf>
    <xf numFmtId="0" fontId="3" fillId="5" borderId="0" xfId="0" applyFont="1" applyFill="1" applyAlignment="1">
      <alignment horizontal="center" vertical="center"/>
    </xf>
    <xf numFmtId="0" fontId="3" fillId="0" borderId="0" xfId="0" applyFont="1" applyFill="1" applyBorder="1" applyAlignment="1">
      <alignment horizontal="center" vertical="center"/>
    </xf>
    <xf numFmtId="0" fontId="3" fillId="0" borderId="0" xfId="0" applyFont="1" applyAlignment="1">
      <alignment horizontal="left" vertical="center" indent="1" shrinkToFit="1"/>
    </xf>
    <xf numFmtId="187" fontId="3" fillId="3" borderId="7" xfId="1" applyNumberFormat="1" applyFont="1" applyFill="1" applyBorder="1" applyAlignment="1">
      <alignment horizontal="center" vertical="center"/>
    </xf>
    <xf numFmtId="187" fontId="3" fillId="3" borderId="7" xfId="1" applyNumberFormat="1" applyFont="1" applyFill="1" applyBorder="1" applyAlignment="1">
      <alignment vertical="center"/>
    </xf>
    <xf numFmtId="187" fontId="3" fillId="3" borderId="7" xfId="1" applyNumberFormat="1" applyFont="1" applyFill="1" applyBorder="1" applyAlignment="1">
      <alignment horizontal="right" vertical="center"/>
    </xf>
    <xf numFmtId="187" fontId="3" fillId="3" borderId="9" xfId="1" applyNumberFormat="1" applyFont="1" applyFill="1" applyBorder="1" applyAlignment="1">
      <alignment horizontal="right" vertical="center"/>
    </xf>
    <xf numFmtId="0" fontId="3" fillId="0" borderId="0" xfId="0" applyFont="1" applyAlignment="1">
      <alignment horizontal="left" vertical="center" indent="3" shrinkToFit="1"/>
    </xf>
    <xf numFmtId="0" fontId="5" fillId="0" borderId="0" xfId="0" applyFont="1" applyFill="1" applyBorder="1" applyAlignment="1">
      <alignment horizontal="left" vertical="center" indent="1" shrinkToFit="1"/>
    </xf>
    <xf numFmtId="0" fontId="3" fillId="0" borderId="0" xfId="0" applyFont="1" applyAlignment="1">
      <alignment horizontal="left" vertical="center" indent="3"/>
    </xf>
    <xf numFmtId="0" fontId="3" fillId="0" borderId="0" xfId="0" applyFont="1" applyFill="1" applyBorder="1" applyAlignment="1">
      <alignment horizontal="center" vertical="center"/>
    </xf>
    <xf numFmtId="0" fontId="3" fillId="0" borderId="0" xfId="0" applyFont="1" applyAlignment="1">
      <alignment horizontal="left" vertical="center" indent="1" shrinkToFit="1"/>
    </xf>
    <xf numFmtId="0" fontId="5" fillId="0" borderId="0" xfId="0" applyFont="1" applyFill="1" applyBorder="1" applyAlignment="1">
      <alignment horizontal="left" vertical="center" indent="1" shrinkToFit="1"/>
    </xf>
    <xf numFmtId="0" fontId="3" fillId="0" borderId="0" xfId="0" applyFont="1" applyAlignment="1">
      <alignment horizontal="left" vertical="center" indent="3"/>
    </xf>
    <xf numFmtId="0" fontId="3" fillId="0" borderId="0" xfId="0" applyFont="1" applyFill="1" applyBorder="1" applyAlignment="1">
      <alignment horizontal="center" vertical="center"/>
    </xf>
    <xf numFmtId="0" fontId="3" fillId="0" borderId="0" xfId="0" applyFont="1" applyAlignment="1">
      <alignment horizontal="left" vertical="center" indent="3" shrinkToFit="1"/>
    </xf>
    <xf numFmtId="186" fontId="10" fillId="2" borderId="13" xfId="0" applyNumberFormat="1" applyFont="1" applyFill="1" applyBorder="1" applyAlignment="1">
      <alignment horizontal="left" indent="1"/>
    </xf>
    <xf numFmtId="0" fontId="3" fillId="0" borderId="0" xfId="0" applyFont="1" applyAlignment="1">
      <alignment horizontal="left" vertical="center" indent="1" shrinkToFit="1"/>
    </xf>
    <xf numFmtId="0" fontId="18" fillId="0" borderId="15" xfId="0" applyFont="1" applyFill="1" applyBorder="1" applyAlignment="1">
      <alignment vertical="center"/>
    </xf>
    <xf numFmtId="0" fontId="10" fillId="2" borderId="15" xfId="0" applyFont="1" applyFill="1" applyBorder="1" applyAlignment="1"/>
    <xf numFmtId="0" fontId="20" fillId="5" borderId="3" xfId="0" applyFont="1" applyFill="1" applyBorder="1" applyAlignment="1">
      <alignment horizontal="center" vertical="top"/>
    </xf>
    <xf numFmtId="38" fontId="3" fillId="3" borderId="9" xfId="1" applyFont="1" applyFill="1" applyBorder="1" applyAlignment="1">
      <alignment horizontal="center" vertical="center"/>
    </xf>
    <xf numFmtId="0" fontId="5" fillId="0" borderId="0" xfId="0" applyFont="1" applyFill="1" applyBorder="1" applyAlignment="1">
      <alignment horizontal="left" vertical="center" indent="1" shrinkToFit="1"/>
    </xf>
    <xf numFmtId="0" fontId="3" fillId="0" borderId="0" xfId="0" applyFont="1" applyAlignment="1">
      <alignment horizontal="left" vertical="center" indent="3"/>
    </xf>
    <xf numFmtId="0" fontId="3" fillId="0" borderId="0" xfId="0" applyFont="1" applyFill="1" applyBorder="1" applyAlignment="1">
      <alignment horizontal="center" vertical="center"/>
    </xf>
    <xf numFmtId="0" fontId="3" fillId="0" borderId="0" xfId="0" applyFont="1" applyAlignment="1">
      <alignment horizontal="left" vertical="center" indent="3" shrinkToFit="1"/>
    </xf>
    <xf numFmtId="0" fontId="3" fillId="0" borderId="0" xfId="0" applyFont="1" applyAlignment="1">
      <alignment horizontal="left" vertical="center" indent="1" shrinkToFit="1"/>
    </xf>
    <xf numFmtId="0" fontId="0" fillId="0" borderId="21" xfId="0" applyBorder="1"/>
    <xf numFmtId="0" fontId="23" fillId="0" borderId="21" xfId="3" applyBorder="1"/>
    <xf numFmtId="0" fontId="0" fillId="0" borderId="21" xfId="0" applyBorder="1" applyAlignment="1">
      <alignment horizontal="center"/>
    </xf>
    <xf numFmtId="0" fontId="3" fillId="0" borderId="0" xfId="0" applyFont="1" applyAlignment="1">
      <alignment horizontal="left" vertical="center" indent="3" shrinkToFit="1"/>
    </xf>
    <xf numFmtId="0" fontId="5" fillId="0" borderId="0" xfId="0" applyFont="1" applyFill="1" applyBorder="1" applyAlignment="1">
      <alignment horizontal="left" vertical="center" indent="1" shrinkToFit="1"/>
    </xf>
    <xf numFmtId="0" fontId="3" fillId="0" borderId="0" xfId="0" applyFont="1" applyAlignment="1">
      <alignment horizontal="left" vertical="center" indent="3"/>
    </xf>
    <xf numFmtId="0" fontId="3" fillId="0" borderId="0" xfId="0" applyFont="1" applyFill="1" applyBorder="1" applyAlignment="1">
      <alignment horizontal="center" vertical="center"/>
    </xf>
    <xf numFmtId="0" fontId="3" fillId="0" borderId="0" xfId="0" applyFont="1" applyAlignment="1">
      <alignment horizontal="left" vertical="center" indent="1" shrinkToFit="1"/>
    </xf>
    <xf numFmtId="0" fontId="5" fillId="0" borderId="0" xfId="0" applyFont="1" applyFill="1" applyBorder="1" applyAlignment="1">
      <alignment horizontal="left" vertical="center" indent="1" shrinkToFit="1"/>
    </xf>
    <xf numFmtId="0" fontId="3" fillId="0" borderId="0" xfId="0" applyFont="1" applyAlignment="1">
      <alignment horizontal="left" vertical="center" indent="3"/>
    </xf>
    <xf numFmtId="0" fontId="3" fillId="0" borderId="0" xfId="0" applyFont="1" applyFill="1" applyBorder="1" applyAlignment="1">
      <alignment horizontal="center" vertical="center"/>
    </xf>
    <xf numFmtId="0" fontId="3" fillId="0" borderId="0" xfId="0" applyFont="1" applyAlignment="1">
      <alignment horizontal="left" vertical="center" indent="3" shrinkToFit="1"/>
    </xf>
    <xf numFmtId="0" fontId="3" fillId="0" borderId="0" xfId="0" applyFont="1" applyAlignment="1">
      <alignment horizontal="left" vertical="center" indent="1" shrinkToFit="1"/>
    </xf>
    <xf numFmtId="0" fontId="3" fillId="0" borderId="0" xfId="0" applyFont="1" applyAlignment="1">
      <alignment horizontal="left" vertical="center" indent="3" shrinkToFit="1"/>
    </xf>
    <xf numFmtId="0" fontId="5" fillId="0" borderId="0" xfId="0" applyFont="1" applyFill="1" applyBorder="1" applyAlignment="1">
      <alignment horizontal="left" vertical="center" indent="1" shrinkToFit="1"/>
    </xf>
    <xf numFmtId="0" fontId="3" fillId="0" borderId="0" xfId="0" applyFont="1" applyAlignment="1">
      <alignment horizontal="left" vertical="center" indent="3"/>
    </xf>
    <xf numFmtId="0" fontId="3" fillId="0" borderId="0" xfId="0" applyFont="1" applyFill="1" applyBorder="1" applyAlignment="1">
      <alignment horizontal="center" vertical="center"/>
    </xf>
    <xf numFmtId="0" fontId="3" fillId="0" borderId="0" xfId="0" applyFont="1" applyAlignment="1">
      <alignment horizontal="left" vertical="center" indent="1" shrinkToFit="1"/>
    </xf>
    <xf numFmtId="0" fontId="5" fillId="0" borderId="0" xfId="0" applyFont="1" applyFill="1" applyBorder="1" applyAlignment="1">
      <alignment horizontal="left" vertical="center" indent="1" shrinkToFit="1"/>
    </xf>
    <xf numFmtId="0" fontId="3" fillId="0" borderId="0" xfId="0" applyFont="1" applyAlignment="1">
      <alignment horizontal="left" vertical="center" indent="3"/>
    </xf>
    <xf numFmtId="0" fontId="3" fillId="0" borderId="0" xfId="0" applyFont="1" applyFill="1" applyBorder="1" applyAlignment="1">
      <alignment horizontal="center" vertical="center"/>
    </xf>
    <xf numFmtId="0" fontId="3" fillId="0" borderId="0" xfId="0" applyFont="1" applyAlignment="1">
      <alignment horizontal="left" vertical="center" indent="3" shrinkToFit="1"/>
    </xf>
    <xf numFmtId="0" fontId="3" fillId="0" borderId="0" xfId="0" applyFont="1" applyAlignment="1">
      <alignment horizontal="left" vertical="center" indent="1" shrinkToFit="1"/>
    </xf>
    <xf numFmtId="9" fontId="0" fillId="0" borderId="21" xfId="4" applyFont="1" applyBorder="1" applyAlignment="1"/>
    <xf numFmtId="0" fontId="3" fillId="0" borderId="0" xfId="0" applyFont="1" applyAlignment="1">
      <alignment horizontal="left" vertical="center" indent="3" shrinkToFit="1"/>
    </xf>
    <xf numFmtId="0" fontId="5" fillId="0" borderId="0" xfId="0" applyFont="1" applyFill="1" applyBorder="1" applyAlignment="1">
      <alignment horizontal="left" vertical="center" indent="1" shrinkToFit="1"/>
    </xf>
    <xf numFmtId="0" fontId="3" fillId="0" borderId="0" xfId="0" applyFont="1" applyAlignment="1">
      <alignment horizontal="left" vertical="center" indent="3"/>
    </xf>
    <xf numFmtId="0" fontId="3" fillId="0" borderId="0" xfId="0" applyFont="1" applyFill="1" applyBorder="1" applyAlignment="1">
      <alignment horizontal="center" vertical="center"/>
    </xf>
    <xf numFmtId="0" fontId="3" fillId="0" borderId="0" xfId="0" applyFont="1" applyAlignment="1">
      <alignment horizontal="left" vertical="center" indent="1" shrinkToFit="1"/>
    </xf>
    <xf numFmtId="14" fontId="0" fillId="0" borderId="21" xfId="0" applyNumberFormat="1" applyBorder="1"/>
    <xf numFmtId="0" fontId="0" fillId="6" borderId="21" xfId="0" applyFill="1" applyBorder="1"/>
    <xf numFmtId="0" fontId="0" fillId="6" borderId="21" xfId="0" applyFill="1" applyBorder="1" applyAlignment="1">
      <alignment horizontal="center"/>
    </xf>
    <xf numFmtId="14" fontId="0" fillId="0" borderId="21" xfId="0" applyNumberFormat="1" applyFill="1" applyBorder="1"/>
    <xf numFmtId="14" fontId="0" fillId="0" borderId="0" xfId="0" applyNumberFormat="1"/>
    <xf numFmtId="0" fontId="0" fillId="0" borderId="23" xfId="0" applyBorder="1" applyAlignment="1">
      <alignment horizontal="center"/>
    </xf>
    <xf numFmtId="0" fontId="0" fillId="0" borderId="23" xfId="0" applyBorder="1"/>
    <xf numFmtId="0" fontId="0" fillId="0" borderId="22" xfId="0" applyBorder="1"/>
    <xf numFmtId="0" fontId="0" fillId="0" borderId="23" xfId="0" applyBorder="1"/>
    <xf numFmtId="0" fontId="0" fillId="0" borderId="22" xfId="0" applyBorder="1" applyAlignment="1">
      <alignment horizontal="center"/>
    </xf>
    <xf numFmtId="0" fontId="0" fillId="0" borderId="23" xfId="0" applyBorder="1" applyAlignment="1">
      <alignment horizontal="center"/>
    </xf>
    <xf numFmtId="180" fontId="15" fillId="3" borderId="1" xfId="0" applyNumberFormat="1" applyFont="1" applyFill="1" applyBorder="1" applyAlignment="1">
      <alignment horizontal="left" vertical="center" indent="1" shrinkToFit="1"/>
    </xf>
    <xf numFmtId="180" fontId="15" fillId="3" borderId="6" xfId="0" applyNumberFormat="1" applyFont="1" applyFill="1" applyBorder="1" applyAlignment="1">
      <alignment horizontal="left" vertical="center" indent="1" shrinkToFit="1"/>
    </xf>
    <xf numFmtId="38" fontId="3" fillId="3" borderId="17" xfId="1" applyFont="1" applyFill="1" applyBorder="1" applyAlignment="1">
      <alignment horizontal="left" vertical="center" indent="1" shrinkToFit="1"/>
    </xf>
    <xf numFmtId="38" fontId="3" fillId="3" borderId="2" xfId="1" applyFont="1" applyFill="1" applyBorder="1" applyAlignment="1">
      <alignment horizontal="left" vertical="center" indent="1" shrinkToFit="1"/>
    </xf>
    <xf numFmtId="0" fontId="12" fillId="5" borderId="12" xfId="0" applyFont="1" applyFill="1" applyBorder="1" applyAlignment="1">
      <alignment horizontal="center" vertical="center"/>
    </xf>
    <xf numFmtId="180" fontId="3" fillId="0" borderId="12" xfId="0" applyNumberFormat="1" applyFont="1" applyFill="1" applyBorder="1" applyAlignment="1">
      <alignment horizontal="center" vertical="center"/>
    </xf>
    <xf numFmtId="0" fontId="12" fillId="5" borderId="11" xfId="0" applyFont="1" applyFill="1" applyBorder="1" applyAlignment="1">
      <alignment horizontal="center" vertical="center"/>
    </xf>
    <xf numFmtId="0" fontId="3" fillId="5" borderId="0" xfId="0" applyFont="1" applyFill="1" applyAlignment="1">
      <alignment horizontal="center" vertical="center"/>
    </xf>
    <xf numFmtId="38" fontId="15" fillId="3" borderId="0" xfId="1" applyFont="1" applyFill="1" applyBorder="1" applyAlignment="1">
      <alignment horizontal="left" vertical="center" indent="1" shrinkToFit="1"/>
    </xf>
    <xf numFmtId="38" fontId="15" fillId="3" borderId="4" xfId="1" applyFont="1" applyFill="1" applyBorder="1" applyAlignment="1">
      <alignment horizontal="left" vertical="center" indent="1" shrinkToFit="1"/>
    </xf>
    <xf numFmtId="38" fontId="3" fillId="3" borderId="16" xfId="1" applyFont="1" applyFill="1" applyBorder="1" applyAlignment="1">
      <alignment horizontal="left" vertical="center" indent="1" shrinkToFit="1"/>
    </xf>
    <xf numFmtId="38" fontId="3" fillId="3" borderId="3" xfId="1" applyFont="1" applyFill="1" applyBorder="1" applyAlignment="1">
      <alignment horizontal="left" vertical="center" indent="1" shrinkToFit="1"/>
    </xf>
    <xf numFmtId="38" fontId="15" fillId="3" borderId="0" xfId="1" applyFont="1" applyFill="1" applyBorder="1" applyAlignment="1">
      <alignment horizontal="center" vertical="center" shrinkToFit="1"/>
    </xf>
    <xf numFmtId="38" fontId="15" fillId="3" borderId="4" xfId="1" applyFont="1" applyFill="1" applyBorder="1" applyAlignment="1">
      <alignment horizontal="center" vertical="center" shrinkToFit="1"/>
    </xf>
    <xf numFmtId="38" fontId="3" fillId="3" borderId="16" xfId="1" applyFont="1" applyFill="1" applyBorder="1" applyAlignment="1">
      <alignment horizontal="center" vertical="center" shrinkToFit="1"/>
    </xf>
    <xf numFmtId="38" fontId="3" fillId="3" borderId="3" xfId="1" applyFont="1" applyFill="1" applyBorder="1" applyAlignment="1">
      <alignment horizontal="center" vertical="center" shrinkToFit="1"/>
    </xf>
    <xf numFmtId="38" fontId="10" fillId="3" borderId="0" xfId="1" applyFont="1" applyFill="1" applyBorder="1" applyAlignment="1">
      <alignment horizontal="left" vertical="center" indent="1" shrinkToFit="1"/>
    </xf>
    <xf numFmtId="38" fontId="10" fillId="3" borderId="4" xfId="1" applyFont="1" applyFill="1" applyBorder="1" applyAlignment="1">
      <alignment horizontal="left" vertical="center" indent="1" shrinkToFit="1"/>
    </xf>
    <xf numFmtId="0" fontId="17" fillId="0" borderId="14" xfId="0" applyFont="1" applyFill="1" applyBorder="1" applyAlignment="1">
      <alignment horizontal="distributed" vertical="center" wrapText="1" indent="1"/>
    </xf>
    <xf numFmtId="0" fontId="17" fillId="0" borderId="15" xfId="0" applyFont="1" applyFill="1" applyBorder="1" applyAlignment="1">
      <alignment horizontal="distributed" vertical="center" indent="1"/>
    </xf>
    <xf numFmtId="179" fontId="21" fillId="2" borderId="13" xfId="0" applyNumberFormat="1" applyFont="1" applyFill="1" applyBorder="1" applyAlignment="1">
      <alignment horizontal="right" vertical="center"/>
    </xf>
    <xf numFmtId="185" fontId="3" fillId="0" borderId="0" xfId="0" applyNumberFormat="1" applyFont="1" applyFill="1" applyAlignment="1">
      <alignment horizontal="left" vertical="center" indent="3" shrinkToFit="1"/>
    </xf>
    <xf numFmtId="180" fontId="20" fillId="5" borderId="0" xfId="0" applyNumberFormat="1" applyFont="1" applyFill="1" applyBorder="1" applyAlignment="1">
      <alignment horizontal="center" vertical="top"/>
    </xf>
    <xf numFmtId="38" fontId="19" fillId="4" borderId="4" xfId="2" applyNumberFormat="1" applyFont="1" applyBorder="1" applyAlignment="1">
      <alignment horizontal="left" vertical="center" indent="1" shrinkToFit="1"/>
    </xf>
    <xf numFmtId="38" fontId="19" fillId="4" borderId="5" xfId="2" applyNumberFormat="1" applyFont="1" applyBorder="1" applyAlignment="1">
      <alignment horizontal="left" vertical="center" indent="1" shrinkToFit="1"/>
    </xf>
    <xf numFmtId="186" fontId="10" fillId="2" borderId="13" xfId="0" applyNumberFormat="1" applyFont="1" applyFill="1" applyBorder="1" applyAlignment="1">
      <alignment horizontal="left" indent="1"/>
    </xf>
    <xf numFmtId="0" fontId="3" fillId="0" borderId="0" xfId="0" applyFont="1" applyAlignment="1">
      <alignment horizontal="left" vertical="center" indent="3" shrinkToFit="1"/>
    </xf>
    <xf numFmtId="0" fontId="18" fillId="0" borderId="14" xfId="0" applyFont="1" applyFill="1" applyBorder="1" applyAlignment="1">
      <alignment horizontal="distributed" vertical="center" indent="1"/>
    </xf>
    <xf numFmtId="0" fontId="18" fillId="0" borderId="0" xfId="0" applyFont="1" applyFill="1" applyBorder="1" applyAlignment="1">
      <alignment horizontal="distributed" vertical="center" indent="1"/>
    </xf>
    <xf numFmtId="0" fontId="18" fillId="0" borderId="15" xfId="0" applyFont="1" applyFill="1" applyBorder="1" applyAlignment="1">
      <alignment horizontal="distributed" vertical="center" indent="1"/>
    </xf>
    <xf numFmtId="0" fontId="10" fillId="2" borderId="14" xfId="0" applyFont="1" applyFill="1" applyBorder="1" applyAlignment="1">
      <alignment horizontal="left" indent="1"/>
    </xf>
    <xf numFmtId="0" fontId="22" fillId="0" borderId="0" xfId="0" applyFont="1" applyAlignment="1">
      <alignment horizontal="left" vertical="center" indent="5" shrinkToFit="1"/>
    </xf>
    <xf numFmtId="0" fontId="10" fillId="2" borderId="0" xfId="0" applyFont="1" applyFill="1" applyBorder="1" applyAlignment="1">
      <alignment horizontal="left" indent="1"/>
    </xf>
    <xf numFmtId="0" fontId="10" fillId="2" borderId="15" xfId="0" applyFont="1" applyFill="1" applyBorder="1" applyAlignment="1">
      <alignment horizontal="left" indent="1"/>
    </xf>
    <xf numFmtId="184" fontId="3" fillId="0" borderId="0" xfId="0" applyNumberFormat="1" applyFont="1" applyFill="1" applyAlignment="1">
      <alignment horizontal="left" vertical="center" indent="3" shrinkToFit="1"/>
    </xf>
    <xf numFmtId="0" fontId="5" fillId="0" borderId="0" xfId="0" applyFont="1" applyFill="1" applyBorder="1" applyAlignment="1">
      <alignment horizontal="center" vertical="center" shrinkToFit="1"/>
    </xf>
    <xf numFmtId="0" fontId="3" fillId="0" borderId="0" xfId="0" applyFont="1" applyAlignment="1">
      <alignment horizontal="left" vertical="center" indent="3"/>
    </xf>
    <xf numFmtId="0" fontId="3" fillId="0" borderId="0" xfId="0" applyFont="1" applyFill="1" applyBorder="1" applyAlignment="1">
      <alignment horizontal="center" vertical="center"/>
    </xf>
    <xf numFmtId="0" fontId="3" fillId="2" borderId="0" xfId="0" applyFont="1" applyFill="1" applyAlignment="1">
      <alignment horizontal="left" vertical="center" indent="1"/>
    </xf>
    <xf numFmtId="0" fontId="10" fillId="2" borderId="13" xfId="0" applyFont="1" applyFill="1" applyBorder="1" applyAlignment="1">
      <alignment horizontal="left" indent="1"/>
    </xf>
    <xf numFmtId="183" fontId="3" fillId="2" borderId="0" xfId="0" applyNumberFormat="1" applyFont="1" applyFill="1" applyAlignment="1">
      <alignment horizontal="left" vertical="center" indent="3"/>
    </xf>
    <xf numFmtId="0" fontId="14" fillId="0" borderId="0" xfId="0" applyFont="1" applyAlignment="1">
      <alignment horizontal="distributed" indent="18"/>
    </xf>
    <xf numFmtId="176" fontId="3" fillId="0" borderId="0" xfId="0" applyNumberFormat="1" applyFont="1" applyAlignment="1">
      <alignment horizontal="left" vertical="center"/>
    </xf>
    <xf numFmtId="0" fontId="5" fillId="0" borderId="0" xfId="0" applyFont="1" applyFill="1" applyBorder="1" applyAlignment="1">
      <alignment horizontal="left" vertical="center" indent="1" shrinkToFit="1"/>
    </xf>
    <xf numFmtId="177" fontId="3" fillId="0" borderId="0" xfId="0" applyNumberFormat="1" applyFont="1" applyAlignment="1">
      <alignment horizontal="left" vertical="center" indent="3"/>
    </xf>
    <xf numFmtId="178" fontId="3" fillId="0" borderId="0" xfId="0" applyNumberFormat="1" applyFont="1" applyAlignment="1">
      <alignment horizontal="left" vertical="center" indent="3"/>
    </xf>
    <xf numFmtId="185" fontId="3" fillId="0" borderId="0" xfId="0" applyNumberFormat="1" applyFont="1" applyFill="1" applyAlignment="1">
      <alignment horizontal="left" vertical="center" indent="1" shrinkToFit="1"/>
    </xf>
    <xf numFmtId="0" fontId="14" fillId="0" borderId="0" xfId="0" applyFont="1" applyAlignment="1">
      <alignment horizontal="distributed" indent="17"/>
    </xf>
    <xf numFmtId="176" fontId="3" fillId="0" borderId="0" xfId="0" applyNumberFormat="1" applyFont="1" applyAlignment="1">
      <alignment horizontal="left" vertical="center" indent="1"/>
    </xf>
    <xf numFmtId="181" fontId="3" fillId="0" borderId="0" xfId="0" applyNumberFormat="1" applyFont="1" applyAlignment="1">
      <alignment horizontal="left" vertical="center" indent="1"/>
    </xf>
    <xf numFmtId="0" fontId="10" fillId="2" borderId="13" xfId="0" applyFont="1" applyFill="1" applyBorder="1" applyAlignment="1">
      <alignment horizontal="left" indent="1" shrinkToFit="1"/>
    </xf>
    <xf numFmtId="0" fontId="17" fillId="0" borderId="13" xfId="0" applyFont="1" applyFill="1" applyBorder="1" applyAlignment="1">
      <alignment horizontal="distributed" vertical="center" wrapText="1" indent="1"/>
    </xf>
    <xf numFmtId="179" fontId="21" fillId="2" borderId="13" xfId="0" applyNumberFormat="1" applyFont="1" applyFill="1" applyBorder="1" applyAlignment="1">
      <alignment horizontal="right" vertical="center" wrapText="1" indent="1"/>
    </xf>
    <xf numFmtId="183" fontId="3" fillId="2" borderId="0" xfId="0" applyNumberFormat="1" applyFont="1" applyFill="1" applyAlignment="1">
      <alignment horizontal="left" vertical="center" indent="1"/>
    </xf>
    <xf numFmtId="0" fontId="10" fillId="0" borderId="0" xfId="0" applyFont="1" applyAlignment="1">
      <alignment horizontal="left" vertical="center" indent="1" shrinkToFit="1"/>
    </xf>
    <xf numFmtId="184" fontId="3" fillId="0" borderId="0" xfId="0" applyNumberFormat="1" applyFont="1" applyFill="1" applyAlignment="1">
      <alignment horizontal="left" vertical="center" indent="1" shrinkToFit="1"/>
    </xf>
    <xf numFmtId="0" fontId="3" fillId="0" borderId="0" xfId="0" applyFont="1" applyAlignment="1">
      <alignment horizontal="left" vertical="center" indent="1" shrinkToFit="1"/>
    </xf>
    <xf numFmtId="188" fontId="3" fillId="0" borderId="0" xfId="0" applyNumberFormat="1" applyFont="1" applyAlignment="1">
      <alignment horizontal="left" vertical="center" indent="3"/>
    </xf>
    <xf numFmtId="189" fontId="3" fillId="0" borderId="0" xfId="0" applyNumberFormat="1" applyFont="1" applyAlignment="1">
      <alignment horizontal="left" vertical="center" indent="3"/>
    </xf>
    <xf numFmtId="0" fontId="15" fillId="0" borderId="0" xfId="0" applyFont="1" applyAlignment="1">
      <alignment horizontal="left" vertical="center" indent="5" shrinkToFit="1"/>
    </xf>
    <xf numFmtId="0" fontId="10" fillId="2" borderId="13" xfId="0" applyFont="1" applyFill="1" applyBorder="1" applyAlignment="1">
      <alignment horizontal="left"/>
    </xf>
    <xf numFmtId="38" fontId="10" fillId="3" borderId="0" xfId="1" applyFont="1" applyFill="1" applyBorder="1" applyAlignment="1">
      <alignment horizontal="left" vertical="center" indent="2" shrinkToFit="1"/>
    </xf>
    <xf numFmtId="38" fontId="10" fillId="3" borderId="3" xfId="1" applyFont="1" applyFill="1" applyBorder="1" applyAlignment="1">
      <alignment horizontal="left" vertical="center" indent="2" shrinkToFit="1"/>
    </xf>
    <xf numFmtId="38" fontId="10" fillId="3" borderId="0" xfId="1" applyFont="1" applyFill="1" applyBorder="1" applyAlignment="1">
      <alignment horizontal="left" vertical="center" indent="4" shrinkToFit="1"/>
    </xf>
    <xf numFmtId="38" fontId="10" fillId="3" borderId="3" xfId="1" applyFont="1" applyFill="1" applyBorder="1" applyAlignment="1">
      <alignment horizontal="left" vertical="center" indent="4" shrinkToFit="1"/>
    </xf>
    <xf numFmtId="179" fontId="22" fillId="2" borderId="13" xfId="0" applyNumberFormat="1" applyFont="1" applyFill="1" applyBorder="1" applyAlignment="1">
      <alignment horizontal="right" vertical="center"/>
    </xf>
    <xf numFmtId="38" fontId="19" fillId="2" borderId="0" xfId="2" applyNumberFormat="1" applyFont="1" applyFill="1" applyBorder="1" applyAlignment="1">
      <alignment horizontal="left" vertical="center" shrinkToFit="1"/>
    </xf>
    <xf numFmtId="38" fontId="19" fillId="2" borderId="3" xfId="2" applyNumberFormat="1" applyFont="1" applyFill="1" applyBorder="1" applyAlignment="1">
      <alignment horizontal="left" vertical="center" shrinkToFit="1"/>
    </xf>
    <xf numFmtId="38" fontId="10" fillId="3" borderId="0" xfId="1" applyFont="1" applyFill="1" applyBorder="1" applyAlignment="1">
      <alignment horizontal="left" vertical="center" shrinkToFit="1"/>
    </xf>
    <xf numFmtId="38" fontId="10" fillId="3" borderId="3" xfId="1" applyFont="1" applyFill="1" applyBorder="1" applyAlignment="1">
      <alignment horizontal="left" vertical="center" shrinkToFit="1"/>
    </xf>
    <xf numFmtId="38" fontId="10" fillId="3" borderId="0" xfId="1" applyFont="1" applyFill="1" applyBorder="1" applyAlignment="1">
      <alignment horizontal="left" vertical="center" indent="3" shrinkToFit="1"/>
    </xf>
    <xf numFmtId="38" fontId="10" fillId="3" borderId="3" xfId="1" applyFont="1" applyFill="1" applyBorder="1" applyAlignment="1">
      <alignment horizontal="left" vertical="center" indent="3" shrinkToFit="1"/>
    </xf>
    <xf numFmtId="38" fontId="10" fillId="3" borderId="0" xfId="1" applyFont="1" applyFill="1" applyBorder="1" applyAlignment="1">
      <alignment horizontal="left" vertical="center" indent="7" shrinkToFit="1"/>
    </xf>
    <xf numFmtId="38" fontId="10" fillId="3" borderId="3" xfId="1" applyFont="1" applyFill="1" applyBorder="1" applyAlignment="1">
      <alignment horizontal="left" vertical="center" indent="7" shrinkToFit="1"/>
    </xf>
    <xf numFmtId="38" fontId="10" fillId="3" borderId="0" xfId="1" applyFont="1" applyFill="1" applyBorder="1" applyAlignment="1">
      <alignment horizontal="left" vertical="center" indent="5" shrinkToFit="1"/>
    </xf>
    <xf numFmtId="38" fontId="10" fillId="3" borderId="3" xfId="1" applyFont="1" applyFill="1" applyBorder="1" applyAlignment="1">
      <alignment horizontal="left" vertical="center" indent="5" shrinkToFit="1"/>
    </xf>
    <xf numFmtId="180" fontId="15" fillId="3" borderId="1" xfId="0" applyNumberFormat="1" applyFont="1" applyFill="1" applyBorder="1" applyAlignment="1">
      <alignment horizontal="left" vertical="center" shrinkToFit="1"/>
    </xf>
    <xf numFmtId="180" fontId="15" fillId="3" borderId="2" xfId="0" applyNumberFormat="1" applyFont="1" applyFill="1" applyBorder="1" applyAlignment="1">
      <alignment horizontal="left" vertical="center" shrinkToFit="1"/>
    </xf>
    <xf numFmtId="38" fontId="10" fillId="3" borderId="0" xfId="1" applyFont="1" applyFill="1" applyBorder="1" applyAlignment="1">
      <alignment horizontal="center" vertical="center" shrinkToFit="1"/>
    </xf>
    <xf numFmtId="38" fontId="10" fillId="3" borderId="4" xfId="1" applyFont="1" applyFill="1" applyBorder="1" applyAlignment="1">
      <alignment horizontal="center" vertical="center" shrinkToFit="1"/>
    </xf>
    <xf numFmtId="0" fontId="22" fillId="0" borderId="0" xfId="0" applyFont="1" applyAlignment="1">
      <alignment horizontal="left" vertical="center" indent="3" shrinkToFit="1"/>
    </xf>
    <xf numFmtId="0" fontId="22" fillId="0" borderId="0" xfId="0" applyFont="1" applyAlignment="1">
      <alignment horizontal="center" vertical="center" shrinkToFit="1"/>
    </xf>
    <xf numFmtId="0" fontId="0" fillId="0" borderId="0" xfId="0" applyFill="1" applyBorder="1"/>
  </cellXfs>
  <cellStyles count="5">
    <cellStyle name="40% - アクセント 5 2" xfId="2" xr:uid="{00000000-0005-0000-0000-000000000000}"/>
    <cellStyle name="パーセント" xfId="4" builtinId="5"/>
    <cellStyle name="ハイパーリンク" xfId="3" builtinId="8"/>
    <cellStyle name="桁区切り" xfId="1" builtinId="6"/>
    <cellStyle name="標準" xfId="0" builtinId="0"/>
  </cellStyles>
  <dxfs count="63">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1</xdr:row>
          <xdr:rowOff>76200</xdr:rowOff>
        </xdr:from>
        <xdr:to>
          <xdr:col>4</xdr:col>
          <xdr:colOff>1162050</xdr:colOff>
          <xdr:row>3</xdr:row>
          <xdr:rowOff>142875</xdr:rowOff>
        </xdr:to>
        <xdr:sp macro="" textlink="">
          <xdr:nvSpPr>
            <xdr:cNvPr id="12296" name="Button 8" hidden="1">
              <a:extLst>
                <a:ext uri="{63B3BB69-23CF-44E3-9099-C40C66FF867C}">
                  <a14:compatExt spid="_x0000_s12296"/>
                </a:ext>
                <a:ext uri="{FF2B5EF4-FFF2-40B4-BE49-F238E27FC236}">
                  <a16:creationId xmlns:a16="http://schemas.microsoft.com/office/drawing/2014/main" id="{00000000-0008-0000-0000-0000083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請求書作成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8</xdr:col>
      <xdr:colOff>28575</xdr:colOff>
      <xdr:row>13</xdr:row>
      <xdr:rowOff>253266</xdr:rowOff>
    </xdr:from>
    <xdr:to>
      <xdr:col>8</xdr:col>
      <xdr:colOff>571500</xdr:colOff>
      <xdr:row>16</xdr:row>
      <xdr:rowOff>28507</xdr:rowOff>
    </xdr:to>
    <xdr:pic>
      <xdr:nvPicPr>
        <xdr:cNvPr id="2" name="図 1">
          <a:extLst>
            <a:ext uri="{FF2B5EF4-FFF2-40B4-BE49-F238E27FC236}">
              <a16:creationId xmlns:a16="http://schemas.microsoft.com/office/drawing/2014/main" id="{91D033FB-1C70-45EC-8C2F-35C35AB74BF0}"/>
            </a:ext>
          </a:extLst>
        </xdr:cNvPr>
        <xdr:cNvPicPr>
          <a:picLocks noChangeAspect="1"/>
        </xdr:cNvPicPr>
      </xdr:nvPicPr>
      <xdr:blipFill>
        <a:blip xmlns:r="http://schemas.openxmlformats.org/officeDocument/2006/relationships" r:embed="rId1"/>
        <a:stretch>
          <a:fillRect/>
        </a:stretch>
      </xdr:blipFill>
      <xdr:spPr>
        <a:xfrm rot="20898342">
          <a:off x="6962775" y="2891691"/>
          <a:ext cx="542925" cy="49914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28575</xdr:colOff>
      <xdr:row>13</xdr:row>
      <xdr:rowOff>253266</xdr:rowOff>
    </xdr:from>
    <xdr:to>
      <xdr:col>8</xdr:col>
      <xdr:colOff>571500</xdr:colOff>
      <xdr:row>16</xdr:row>
      <xdr:rowOff>28507</xdr:rowOff>
    </xdr:to>
    <xdr:pic>
      <xdr:nvPicPr>
        <xdr:cNvPr id="2" name="図 1">
          <a:extLst>
            <a:ext uri="{FF2B5EF4-FFF2-40B4-BE49-F238E27FC236}">
              <a16:creationId xmlns:a16="http://schemas.microsoft.com/office/drawing/2014/main" id="{3334500D-E9DA-429E-8F8A-73D842D25F89}"/>
            </a:ext>
          </a:extLst>
        </xdr:cNvPr>
        <xdr:cNvPicPr>
          <a:picLocks noChangeAspect="1"/>
        </xdr:cNvPicPr>
      </xdr:nvPicPr>
      <xdr:blipFill>
        <a:blip xmlns:r="http://schemas.openxmlformats.org/officeDocument/2006/relationships" r:embed="rId1"/>
        <a:stretch>
          <a:fillRect/>
        </a:stretch>
      </xdr:blipFill>
      <xdr:spPr>
        <a:xfrm rot="20898342">
          <a:off x="6962775" y="2891691"/>
          <a:ext cx="542925" cy="49914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28575</xdr:colOff>
      <xdr:row>13</xdr:row>
      <xdr:rowOff>253266</xdr:rowOff>
    </xdr:from>
    <xdr:to>
      <xdr:col>8</xdr:col>
      <xdr:colOff>571500</xdr:colOff>
      <xdr:row>16</xdr:row>
      <xdr:rowOff>28507</xdr:rowOff>
    </xdr:to>
    <xdr:pic>
      <xdr:nvPicPr>
        <xdr:cNvPr id="2" name="図 1">
          <a:extLst>
            <a:ext uri="{FF2B5EF4-FFF2-40B4-BE49-F238E27FC236}">
              <a16:creationId xmlns:a16="http://schemas.microsoft.com/office/drawing/2014/main" id="{764DF301-4086-473D-8189-509ED95D95A3}"/>
            </a:ext>
          </a:extLst>
        </xdr:cNvPr>
        <xdr:cNvPicPr>
          <a:picLocks noChangeAspect="1"/>
        </xdr:cNvPicPr>
      </xdr:nvPicPr>
      <xdr:blipFill>
        <a:blip xmlns:r="http://schemas.openxmlformats.org/officeDocument/2006/relationships" r:embed="rId1"/>
        <a:stretch>
          <a:fillRect/>
        </a:stretch>
      </xdr:blipFill>
      <xdr:spPr>
        <a:xfrm rot="20898342">
          <a:off x="6962775" y="2891691"/>
          <a:ext cx="542925" cy="49914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28575</xdr:colOff>
      <xdr:row>13</xdr:row>
      <xdr:rowOff>253266</xdr:rowOff>
    </xdr:from>
    <xdr:to>
      <xdr:col>8</xdr:col>
      <xdr:colOff>571500</xdr:colOff>
      <xdr:row>16</xdr:row>
      <xdr:rowOff>28507</xdr:rowOff>
    </xdr:to>
    <xdr:pic>
      <xdr:nvPicPr>
        <xdr:cNvPr id="2" name="図 1">
          <a:extLst>
            <a:ext uri="{FF2B5EF4-FFF2-40B4-BE49-F238E27FC236}">
              <a16:creationId xmlns:a16="http://schemas.microsoft.com/office/drawing/2014/main" id="{5A6BEBF8-A5D4-427D-8C3F-0B107F8547B8}"/>
            </a:ext>
          </a:extLst>
        </xdr:cNvPr>
        <xdr:cNvPicPr>
          <a:picLocks noChangeAspect="1"/>
        </xdr:cNvPicPr>
      </xdr:nvPicPr>
      <xdr:blipFill>
        <a:blip xmlns:r="http://schemas.openxmlformats.org/officeDocument/2006/relationships" r:embed="rId1"/>
        <a:stretch>
          <a:fillRect/>
        </a:stretch>
      </xdr:blipFill>
      <xdr:spPr>
        <a:xfrm rot="20898342">
          <a:off x="6962775" y="2891691"/>
          <a:ext cx="542925" cy="49914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28575</xdr:colOff>
      <xdr:row>13</xdr:row>
      <xdr:rowOff>253266</xdr:rowOff>
    </xdr:from>
    <xdr:to>
      <xdr:col>8</xdr:col>
      <xdr:colOff>571500</xdr:colOff>
      <xdr:row>16</xdr:row>
      <xdr:rowOff>28507</xdr:rowOff>
    </xdr:to>
    <xdr:pic>
      <xdr:nvPicPr>
        <xdr:cNvPr id="2" name="図 1">
          <a:extLst>
            <a:ext uri="{FF2B5EF4-FFF2-40B4-BE49-F238E27FC236}">
              <a16:creationId xmlns:a16="http://schemas.microsoft.com/office/drawing/2014/main" id="{4CE9BB23-321F-488A-BE3D-6D52F2CE6744}"/>
            </a:ext>
          </a:extLst>
        </xdr:cNvPr>
        <xdr:cNvPicPr>
          <a:picLocks noChangeAspect="1"/>
        </xdr:cNvPicPr>
      </xdr:nvPicPr>
      <xdr:blipFill>
        <a:blip xmlns:r="http://schemas.openxmlformats.org/officeDocument/2006/relationships" r:embed="rId1"/>
        <a:stretch>
          <a:fillRect/>
        </a:stretch>
      </xdr:blipFill>
      <xdr:spPr>
        <a:xfrm>
          <a:off x="6753225" y="2891691"/>
          <a:ext cx="542925" cy="49914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13</xdr:row>
      <xdr:rowOff>253266</xdr:rowOff>
    </xdr:from>
    <xdr:to>
      <xdr:col>8</xdr:col>
      <xdr:colOff>542925</xdr:colOff>
      <xdr:row>16</xdr:row>
      <xdr:rowOff>28507</xdr:rowOff>
    </xdr:to>
    <xdr:pic>
      <xdr:nvPicPr>
        <xdr:cNvPr id="2" name="図 1">
          <a:extLst>
            <a:ext uri="{FF2B5EF4-FFF2-40B4-BE49-F238E27FC236}">
              <a16:creationId xmlns:a16="http://schemas.microsoft.com/office/drawing/2014/main" id="{1D700A4B-117E-4DEB-B9E5-6E6376687779}"/>
            </a:ext>
          </a:extLst>
        </xdr:cNvPr>
        <xdr:cNvPicPr>
          <a:picLocks noChangeAspect="1"/>
        </xdr:cNvPicPr>
      </xdr:nvPicPr>
      <xdr:blipFill>
        <a:blip xmlns:r="http://schemas.openxmlformats.org/officeDocument/2006/relationships" r:embed="rId1"/>
        <a:stretch>
          <a:fillRect/>
        </a:stretch>
      </xdr:blipFill>
      <xdr:spPr>
        <a:xfrm>
          <a:off x="6962775" y="2891691"/>
          <a:ext cx="542925" cy="49914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0</xdr:colOff>
      <xdr:row>13</xdr:row>
      <xdr:rowOff>253266</xdr:rowOff>
    </xdr:from>
    <xdr:to>
      <xdr:col>8</xdr:col>
      <xdr:colOff>542925</xdr:colOff>
      <xdr:row>16</xdr:row>
      <xdr:rowOff>28507</xdr:rowOff>
    </xdr:to>
    <xdr:pic>
      <xdr:nvPicPr>
        <xdr:cNvPr id="2" name="図 1">
          <a:extLst>
            <a:ext uri="{FF2B5EF4-FFF2-40B4-BE49-F238E27FC236}">
              <a16:creationId xmlns:a16="http://schemas.microsoft.com/office/drawing/2014/main" id="{8E716B5A-6560-47B6-AB56-6C09E2A79998}"/>
            </a:ext>
          </a:extLst>
        </xdr:cNvPr>
        <xdr:cNvPicPr>
          <a:picLocks noChangeAspect="1"/>
        </xdr:cNvPicPr>
      </xdr:nvPicPr>
      <xdr:blipFill>
        <a:blip xmlns:r="http://schemas.openxmlformats.org/officeDocument/2006/relationships" r:embed="rId1"/>
        <a:stretch>
          <a:fillRect/>
        </a:stretch>
      </xdr:blipFill>
      <xdr:spPr>
        <a:xfrm>
          <a:off x="6962775" y="2891691"/>
          <a:ext cx="542925" cy="49914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8</xdr:col>
      <xdr:colOff>0</xdr:colOff>
      <xdr:row>13</xdr:row>
      <xdr:rowOff>253266</xdr:rowOff>
    </xdr:from>
    <xdr:to>
      <xdr:col>8</xdr:col>
      <xdr:colOff>542925</xdr:colOff>
      <xdr:row>16</xdr:row>
      <xdr:rowOff>28507</xdr:rowOff>
    </xdr:to>
    <xdr:pic>
      <xdr:nvPicPr>
        <xdr:cNvPr id="2" name="図 1">
          <a:extLst>
            <a:ext uri="{FF2B5EF4-FFF2-40B4-BE49-F238E27FC236}">
              <a16:creationId xmlns:a16="http://schemas.microsoft.com/office/drawing/2014/main" id="{41CA0441-575F-4D76-8E65-03413A3C8F06}"/>
            </a:ext>
          </a:extLst>
        </xdr:cNvPr>
        <xdr:cNvPicPr>
          <a:picLocks noChangeAspect="1"/>
        </xdr:cNvPicPr>
      </xdr:nvPicPr>
      <xdr:blipFill>
        <a:blip xmlns:r="http://schemas.openxmlformats.org/officeDocument/2006/relationships" r:embed="rId1"/>
        <a:stretch>
          <a:fillRect/>
        </a:stretch>
      </xdr:blipFill>
      <xdr:spPr>
        <a:xfrm>
          <a:off x="6962775" y="2891691"/>
          <a:ext cx="542925" cy="49914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0</xdr:colOff>
      <xdr:row>13</xdr:row>
      <xdr:rowOff>253266</xdr:rowOff>
    </xdr:from>
    <xdr:to>
      <xdr:col>8</xdr:col>
      <xdr:colOff>542925</xdr:colOff>
      <xdr:row>16</xdr:row>
      <xdr:rowOff>28507</xdr:rowOff>
    </xdr:to>
    <xdr:pic>
      <xdr:nvPicPr>
        <xdr:cNvPr id="2" name="図 1">
          <a:extLst>
            <a:ext uri="{FF2B5EF4-FFF2-40B4-BE49-F238E27FC236}">
              <a16:creationId xmlns:a16="http://schemas.microsoft.com/office/drawing/2014/main" id="{8BA971C3-0AFC-4272-9694-71D231CD7C68}"/>
            </a:ext>
          </a:extLst>
        </xdr:cNvPr>
        <xdr:cNvPicPr>
          <a:picLocks noChangeAspect="1"/>
        </xdr:cNvPicPr>
      </xdr:nvPicPr>
      <xdr:blipFill>
        <a:blip xmlns:r="http://schemas.openxmlformats.org/officeDocument/2006/relationships" r:embed="rId1"/>
        <a:stretch>
          <a:fillRect/>
        </a:stretch>
      </xdr:blipFill>
      <xdr:spPr>
        <a:xfrm>
          <a:off x="6271260" y="2851686"/>
          <a:ext cx="542925" cy="49152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13</xdr:row>
      <xdr:rowOff>253266</xdr:rowOff>
    </xdr:from>
    <xdr:to>
      <xdr:col>8</xdr:col>
      <xdr:colOff>542925</xdr:colOff>
      <xdr:row>16</xdr:row>
      <xdr:rowOff>28507</xdr:rowOff>
    </xdr:to>
    <xdr:pic>
      <xdr:nvPicPr>
        <xdr:cNvPr id="2" name="図 1">
          <a:extLst>
            <a:ext uri="{FF2B5EF4-FFF2-40B4-BE49-F238E27FC236}">
              <a16:creationId xmlns:a16="http://schemas.microsoft.com/office/drawing/2014/main" id="{7BF2CD43-C560-45B7-8880-19F02B072B87}"/>
            </a:ext>
          </a:extLst>
        </xdr:cNvPr>
        <xdr:cNvPicPr>
          <a:picLocks noChangeAspect="1"/>
        </xdr:cNvPicPr>
      </xdr:nvPicPr>
      <xdr:blipFill>
        <a:blip xmlns:r="http://schemas.openxmlformats.org/officeDocument/2006/relationships" r:embed="rId1"/>
        <a:stretch>
          <a:fillRect/>
        </a:stretch>
      </xdr:blipFill>
      <xdr:spPr>
        <a:xfrm>
          <a:off x="6271260" y="2851686"/>
          <a:ext cx="542925" cy="49152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8</xdr:col>
      <xdr:colOff>0</xdr:colOff>
      <xdr:row>13</xdr:row>
      <xdr:rowOff>253266</xdr:rowOff>
    </xdr:from>
    <xdr:to>
      <xdr:col>8</xdr:col>
      <xdr:colOff>542925</xdr:colOff>
      <xdr:row>16</xdr:row>
      <xdr:rowOff>28507</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6962775" y="2891691"/>
          <a:ext cx="542925" cy="499141"/>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hyperlink" Target="mailto:hitomi@1103slabo.com"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BC5412-367F-401B-B16B-A4C839401616}">
  <sheetPr codeName="Sheet1"/>
  <dimension ref="B2:I19"/>
  <sheetViews>
    <sheetView workbookViewId="0">
      <selection activeCell="G13" sqref="G13"/>
    </sheetView>
  </sheetViews>
  <sheetFormatPr defaultRowHeight="13.5" x14ac:dyDescent="0.15"/>
  <cols>
    <col min="2" max="2" width="15" customWidth="1"/>
    <col min="3" max="3" width="10.375" customWidth="1"/>
    <col min="4" max="4" width="25.375" customWidth="1"/>
    <col min="5" max="5" width="30.125" customWidth="1"/>
    <col min="6" max="6" width="21" customWidth="1"/>
    <col min="7" max="7" width="6.625" customWidth="1"/>
    <col min="8" max="8" width="5.25" bestFit="1" customWidth="1"/>
  </cols>
  <sheetData>
    <row r="2" spans="2:9" x14ac:dyDescent="0.15">
      <c r="B2" t="s">
        <v>130</v>
      </c>
    </row>
    <row r="4" spans="2:9" x14ac:dyDescent="0.15">
      <c r="B4" s="111" t="s">
        <v>132</v>
      </c>
    </row>
    <row r="5" spans="2:9" x14ac:dyDescent="0.15">
      <c r="B5" s="140">
        <v>44286</v>
      </c>
    </row>
    <row r="7" spans="2:9" x14ac:dyDescent="0.15">
      <c r="B7" s="141" t="s">
        <v>76</v>
      </c>
      <c r="C7" s="111" t="s">
        <v>77</v>
      </c>
      <c r="D7" s="141" t="s">
        <v>60</v>
      </c>
      <c r="E7" s="141" t="s">
        <v>78</v>
      </c>
      <c r="F7" s="141" t="s">
        <v>79</v>
      </c>
      <c r="G7" s="233"/>
    </row>
    <row r="8" spans="2:9" x14ac:dyDescent="0.15">
      <c r="B8" s="141">
        <f>VALUE(_xlfn.CONCAT(YEAR($B$5),TEXT(COUNTIF(請求書履歴!$A:$A,_xlfn.CONCAT("&gt;",YEAR($B$5),"0000"))+1,"0000")))</f>
        <v>20210002</v>
      </c>
      <c r="C8" s="111">
        <v>1</v>
      </c>
      <c r="D8" s="141" t="str">
        <f>VLOOKUP($C$8,顧客情報!$A:$D,2,FALSE)</f>
        <v>女性共同法律事務所</v>
      </c>
      <c r="E8" s="141" t="str">
        <f>VLOOKUP($C$8,顧客情報!$A:$D,3,FALSE)</f>
        <v>宮地</v>
      </c>
      <c r="F8" s="141" t="str">
        <f>VLOOKUP($C$8,顧客情報!$A:$D,4,FALSE)</f>
        <v>様</v>
      </c>
      <c r="G8" s="233"/>
    </row>
    <row r="11" spans="2:9" x14ac:dyDescent="0.15">
      <c r="C11" s="113" t="s">
        <v>18</v>
      </c>
      <c r="D11" s="142" t="s">
        <v>93</v>
      </c>
      <c r="E11" s="149" t="s">
        <v>94</v>
      </c>
      <c r="F11" s="150"/>
      <c r="G11" s="145" t="s">
        <v>3</v>
      </c>
      <c r="H11" s="142" t="s">
        <v>11</v>
      </c>
      <c r="I11" s="142" t="s">
        <v>2</v>
      </c>
    </row>
    <row r="12" spans="2:9" x14ac:dyDescent="0.15">
      <c r="C12" s="111" t="s">
        <v>138</v>
      </c>
      <c r="D12" s="141" t="str">
        <f>VLOOKUP($C12,商品マスタ!$A:$E,2,FALSE)</f>
        <v>プログラム作成</v>
      </c>
      <c r="E12" s="147" t="s">
        <v>141</v>
      </c>
      <c r="F12" s="148"/>
      <c r="G12" s="146">
        <v>2</v>
      </c>
      <c r="H12" s="141" t="str">
        <f>VLOOKUP($C12,商品マスタ!$A:$E,4,FALSE)</f>
        <v>時間</v>
      </c>
      <c r="I12" s="141">
        <f>VLOOKUP($C12,商品マスタ!$A:$E,5,FALSE)</f>
        <v>2000</v>
      </c>
    </row>
    <row r="13" spans="2:9" x14ac:dyDescent="0.15">
      <c r="C13" s="111"/>
      <c r="D13" s="141" t="e">
        <f>VLOOKUP($C13,商品マスタ!$A:$E,2,FALSE)</f>
        <v>#N/A</v>
      </c>
      <c r="E13" s="147"/>
      <c r="F13" s="148"/>
      <c r="G13" s="146"/>
      <c r="H13" s="141" t="e">
        <f>VLOOKUP($C13,商品マスタ!$A:$E,4,FALSE)</f>
        <v>#N/A</v>
      </c>
      <c r="I13" s="141" t="e">
        <f>VLOOKUP($C13,商品マスタ!$A:$E,5,FALSE)</f>
        <v>#N/A</v>
      </c>
    </row>
    <row r="14" spans="2:9" x14ac:dyDescent="0.15">
      <c r="C14" s="111"/>
      <c r="D14" s="141" t="e">
        <f>VLOOKUP($C14,商品マスタ!$A:$E,2,FALSE)</f>
        <v>#N/A</v>
      </c>
      <c r="E14" s="147"/>
      <c r="F14" s="148"/>
      <c r="G14" s="146"/>
      <c r="H14" s="141" t="e">
        <f>VLOOKUP($C14,商品マスタ!$A:$E,4,FALSE)</f>
        <v>#N/A</v>
      </c>
      <c r="I14" s="141" t="e">
        <f>VLOOKUP($C14,商品マスタ!$A:$E,5,FALSE)</f>
        <v>#N/A</v>
      </c>
    </row>
    <row r="15" spans="2:9" x14ac:dyDescent="0.15">
      <c r="C15" s="111"/>
      <c r="D15" s="141" t="e">
        <f>VLOOKUP($C15,商品マスタ!$A:$E,2,FALSE)</f>
        <v>#N/A</v>
      </c>
      <c r="E15" s="147">
        <f>VLOOKUP($C$12,商品マスタ!$A:$E,3,FALSE)</f>
        <v>0</v>
      </c>
      <c r="F15" s="148"/>
      <c r="G15" s="146"/>
      <c r="H15" s="141" t="e">
        <f>VLOOKUP($C15,商品マスタ!$A:$E,4,FALSE)</f>
        <v>#N/A</v>
      </c>
      <c r="I15" s="141" t="e">
        <f>VLOOKUP($C15,商品マスタ!$A:$E,5,FALSE)</f>
        <v>#N/A</v>
      </c>
    </row>
    <row r="16" spans="2:9" x14ac:dyDescent="0.15">
      <c r="C16" s="111"/>
      <c r="D16" s="141" t="e">
        <f>VLOOKUP($C16,商品マスタ!$A:$E,2,FALSE)</f>
        <v>#N/A</v>
      </c>
      <c r="E16" s="147">
        <f>VLOOKUP($C$12,商品マスタ!$A:$E,3,FALSE)</f>
        <v>0</v>
      </c>
      <c r="F16" s="148"/>
      <c r="G16" s="146"/>
      <c r="H16" s="141" t="e">
        <f>VLOOKUP($C16,商品マスタ!$A:$E,4,FALSE)</f>
        <v>#N/A</v>
      </c>
      <c r="I16" s="141" t="e">
        <f>VLOOKUP($C16,商品マスタ!$A:$E,5,FALSE)</f>
        <v>#N/A</v>
      </c>
    </row>
    <row r="17" spans="3:9" x14ac:dyDescent="0.15">
      <c r="C17" s="111"/>
      <c r="D17" s="141" t="e">
        <f>VLOOKUP($C17,商品マスタ!$A:$E,2,FALSE)</f>
        <v>#N/A</v>
      </c>
      <c r="E17" s="147">
        <f>VLOOKUP($C$12,商品マスタ!$A:$E,3,FALSE)</f>
        <v>0</v>
      </c>
      <c r="F17" s="148"/>
      <c r="G17" s="146"/>
      <c r="H17" s="141" t="e">
        <f>VLOOKUP($C17,商品マスタ!$A:$E,4,FALSE)</f>
        <v>#N/A</v>
      </c>
      <c r="I17" s="141" t="e">
        <f>VLOOKUP($C17,商品マスタ!$A:$E,5,FALSE)</f>
        <v>#N/A</v>
      </c>
    </row>
    <row r="18" spans="3:9" x14ac:dyDescent="0.15">
      <c r="C18" s="111"/>
      <c r="D18" s="141" t="e">
        <f>VLOOKUP($C18,商品マスタ!$A:$E,2,FALSE)</f>
        <v>#N/A</v>
      </c>
      <c r="E18" s="147">
        <f>VLOOKUP($C$12,商品マスタ!$A:$E,3,FALSE)</f>
        <v>0</v>
      </c>
      <c r="F18" s="148"/>
      <c r="G18" s="146"/>
      <c r="H18" s="141" t="e">
        <f>VLOOKUP($C18,商品マスタ!$A:$E,4,FALSE)</f>
        <v>#N/A</v>
      </c>
      <c r="I18" s="141" t="e">
        <f>VLOOKUP($C18,商品マスタ!$A:$E,5,FALSE)</f>
        <v>#N/A</v>
      </c>
    </row>
    <row r="19" spans="3:9" x14ac:dyDescent="0.15">
      <c r="C19" s="111"/>
      <c r="D19" s="141" t="e">
        <f>VLOOKUP($C19,商品マスタ!$A:$E,2,FALSE)</f>
        <v>#N/A</v>
      </c>
      <c r="E19" s="147">
        <f>VLOOKUP($C$12,商品マスタ!$A:$E,3,FALSE)</f>
        <v>0</v>
      </c>
      <c r="F19" s="148"/>
      <c r="G19" s="146"/>
      <c r="H19" s="141" t="e">
        <f>VLOOKUP($C19,商品マスタ!$A:$E,4,FALSE)</f>
        <v>#N/A</v>
      </c>
      <c r="I19" s="141" t="e">
        <f>VLOOKUP($C19,商品マスタ!$A:$E,5,FALSE)</f>
        <v>#N/A</v>
      </c>
    </row>
  </sheetData>
  <mergeCells count="9">
    <mergeCell ref="E17:F17"/>
    <mergeCell ref="E18:F18"/>
    <mergeCell ref="E19:F19"/>
    <mergeCell ref="E11:F11"/>
    <mergeCell ref="E12:F12"/>
    <mergeCell ref="E13:F13"/>
    <mergeCell ref="E14:F14"/>
    <mergeCell ref="E15:F15"/>
    <mergeCell ref="E16:F16"/>
  </mergeCells>
  <phoneticPr fontId="4"/>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2296" r:id="rId4" name="Button 8">
              <controlPr defaultSize="0" print="0" autoFill="0" autoPict="0" macro="[0]!ボタン8_Click">
                <anchor moveWithCells="1" sizeWithCells="1">
                  <from>
                    <xdr:col>4</xdr:col>
                    <xdr:colOff>47625</xdr:colOff>
                    <xdr:row>1</xdr:row>
                    <xdr:rowOff>76200</xdr:rowOff>
                  </from>
                  <to>
                    <xdr:col>4</xdr:col>
                    <xdr:colOff>1162050</xdr:colOff>
                    <xdr:row>3</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FAC1B33-4898-4333-803D-C041DF7795B8}">
          <x14:formula1>
            <xm:f>顧客情報!$A$2:$A$4</xm:f>
          </x14:formula1>
          <xm:sqref>C8</xm:sqref>
        </x14:dataValidation>
        <x14:dataValidation type="list" allowBlank="1" showInputMessage="1" showErrorMessage="1" xr:uid="{4022F1E6-AFC7-4F8F-B6A8-119B6528A62E}">
          <x14:formula1>
            <xm:f>商品マスタ!$A$2:$A$9</xm:f>
          </x14:formula1>
          <xm:sqref>C12:C19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5E416-6DAF-4861-ACBD-2F6DB3C713C3}">
  <sheetPr codeName="Sheet24">
    <pageSetUpPr fitToPage="1"/>
  </sheetPr>
  <dimension ref="A2:I53"/>
  <sheetViews>
    <sheetView showGridLines="0" tabSelected="1" view="pageBreakPreview" zoomScale="80" zoomScaleNormal="100" zoomScaleSheetLayoutView="80" workbookViewId="0">
      <selection activeCell="R13" sqref="R13"/>
    </sheetView>
  </sheetViews>
  <sheetFormatPr defaultColWidth="3.125" defaultRowHeight="13.5" customHeight="1" x14ac:dyDescent="0.15"/>
  <cols>
    <col min="1" max="1" width="7.625" style="1" customWidth="1"/>
    <col min="2" max="2" width="13.875" style="1" customWidth="1"/>
    <col min="3" max="3" width="9.375" style="1" customWidth="1"/>
    <col min="4" max="4" width="19.5" style="1" customWidth="1"/>
    <col min="5" max="5" width="22.25" style="1" customWidth="1"/>
    <col min="6" max="6" width="8.625" style="1" customWidth="1"/>
    <col min="7" max="7" width="6.625" style="1" customWidth="1"/>
    <col min="8" max="8" width="6.125" style="1" customWidth="1"/>
    <col min="9" max="9" width="8.625" style="1" customWidth="1"/>
    <col min="10" max="16384" width="3.125" style="1"/>
  </cols>
  <sheetData>
    <row r="2" spans="2:9" ht="13.5" customHeight="1" x14ac:dyDescent="0.15">
      <c r="B2" s="158"/>
      <c r="C2" s="158"/>
      <c r="D2" s="158"/>
      <c r="E2" s="158"/>
      <c r="F2" s="158"/>
      <c r="G2" s="158"/>
      <c r="H2" s="158"/>
      <c r="I2" s="158"/>
    </row>
    <row r="3" spans="2:9" s="2" customFormat="1" ht="36.75" customHeight="1" x14ac:dyDescent="0.55000000000000004">
      <c r="B3" s="192" t="s">
        <v>22</v>
      </c>
      <c r="C3" s="192"/>
      <c r="D3" s="192"/>
      <c r="E3" s="192"/>
      <c r="F3" s="192"/>
      <c r="G3" s="192"/>
      <c r="H3" s="192"/>
      <c r="I3" s="192"/>
    </row>
    <row r="4" spans="2:9" ht="15" customHeight="1" x14ac:dyDescent="0.15">
      <c r="F4" s="193"/>
      <c r="G4" s="193"/>
      <c r="H4" s="193"/>
      <c r="I4" s="193"/>
    </row>
    <row r="5" spans="2:9" ht="13.5" customHeight="1" x14ac:dyDescent="0.15">
      <c r="B5" s="194" t="str">
        <f>VLOOKUP(F5,請求書履歴!$A$2:$E$40,3,FALSE)</f>
        <v>女性共同法律事務所</v>
      </c>
      <c r="C5" s="194"/>
      <c r="D5" s="194"/>
      <c r="E5" s="138"/>
      <c r="F5" s="195">
        <v>20210001</v>
      </c>
      <c r="G5" s="195"/>
      <c r="H5" s="195"/>
      <c r="I5" s="195"/>
    </row>
    <row r="6" spans="2:9" ht="13.5" customHeight="1" x14ac:dyDescent="0.15">
      <c r="B6" s="194"/>
      <c r="C6" s="194"/>
      <c r="D6" s="194"/>
      <c r="F6" s="196">
        <f>VLOOKUP($F$5,請求書履歴!$A:$F,6,FALSE)</f>
        <v>44255</v>
      </c>
      <c r="G6" s="196"/>
      <c r="H6" s="196"/>
      <c r="I6" s="196"/>
    </row>
    <row r="7" spans="2:9" ht="13.5" customHeight="1" x14ac:dyDescent="0.15">
      <c r="B7" s="186" t="str">
        <f>VLOOKUP(F5,請求書履歴!$A$2:$E$40,4,FALSE)&amp; " " &amp; VLOOKUP(F5,請求書履歴!$A$2:$E$40,5,FALSE)</f>
        <v>宮地 様</v>
      </c>
      <c r="C7" s="186"/>
      <c r="D7" s="186"/>
      <c r="F7" s="187"/>
      <c r="G7" s="187"/>
      <c r="H7" s="187"/>
      <c r="I7" s="187"/>
    </row>
    <row r="8" spans="2:9" ht="13.5" customHeight="1" x14ac:dyDescent="0.15">
      <c r="B8" s="186"/>
      <c r="C8" s="186"/>
      <c r="D8" s="186"/>
      <c r="E8" s="188"/>
      <c r="F8" s="177"/>
      <c r="G8" s="177"/>
      <c r="H8" s="177"/>
      <c r="I8" s="177"/>
    </row>
    <row r="9" spans="2:9" ht="13.5" customHeight="1" x14ac:dyDescent="0.15">
      <c r="B9" s="136"/>
      <c r="C9" s="136"/>
      <c r="D9" s="136"/>
      <c r="E9" s="188"/>
      <c r="F9" s="135"/>
      <c r="G9" s="135"/>
      <c r="H9" s="135"/>
      <c r="I9" s="135"/>
    </row>
    <row r="10" spans="2:9" ht="13.5" customHeight="1" x14ac:dyDescent="0.15">
      <c r="B10" s="189"/>
      <c r="C10" s="189"/>
      <c r="D10" s="189"/>
      <c r="E10" s="188"/>
      <c r="F10" s="137"/>
      <c r="G10" s="137"/>
      <c r="H10" s="137"/>
      <c r="I10" s="137"/>
    </row>
    <row r="11" spans="2:9" ht="13.5" customHeight="1" x14ac:dyDescent="0.15">
      <c r="B11" s="28" t="s">
        <v>23</v>
      </c>
      <c r="C11" s="17"/>
      <c r="D11" s="139"/>
      <c r="E11" s="4"/>
      <c r="F11" s="29"/>
      <c r="G11" s="137"/>
      <c r="H11" s="137"/>
      <c r="I11" s="30"/>
    </row>
    <row r="12" spans="2:9" ht="13.5" customHeight="1" x14ac:dyDescent="0.15">
      <c r="B12" s="52"/>
      <c r="C12" s="52"/>
      <c r="D12" s="52"/>
      <c r="E12" s="4"/>
      <c r="F12" s="31"/>
      <c r="G12" s="31"/>
      <c r="H12" s="31"/>
      <c r="I12" s="31"/>
    </row>
    <row r="13" spans="2:9" ht="21" customHeight="1" x14ac:dyDescent="0.4">
      <c r="B13" s="43" t="s">
        <v>12</v>
      </c>
      <c r="C13" s="190" t="s">
        <v>137</v>
      </c>
      <c r="D13" s="190"/>
      <c r="E13" s="4"/>
      <c r="F13" s="191">
        <f>各種設定!C6</f>
        <v>6390223</v>
      </c>
      <c r="G13" s="191"/>
      <c r="H13" s="191"/>
      <c r="I13" s="191"/>
    </row>
    <row r="14" spans="2:9" ht="21" customHeight="1" x14ac:dyDescent="0.4">
      <c r="B14" s="43" t="s">
        <v>25</v>
      </c>
      <c r="C14" s="176">
        <f>EDATE(F6,1)</f>
        <v>44283</v>
      </c>
      <c r="D14" s="176"/>
      <c r="E14" s="4"/>
      <c r="F14" s="177" t="str">
        <f>各種設定!C7</f>
        <v>奈良県香芝市真美ヶ丘7-1-2</v>
      </c>
      <c r="G14" s="177"/>
      <c r="H14" s="177"/>
      <c r="I14" s="177"/>
    </row>
    <row r="15" spans="2:9" ht="19.5" customHeight="1" x14ac:dyDescent="0.4">
      <c r="B15" s="178" t="s">
        <v>13</v>
      </c>
      <c r="C15" s="181" t="str">
        <f>各種設定!C15&amp;" 　"&amp;各種設定!C16</f>
        <v>りそな 銀行 　香芝 支店</v>
      </c>
      <c r="D15" s="181"/>
      <c r="E15" s="138"/>
      <c r="F15" s="182" t="str">
        <f>各種設定!C10</f>
        <v>松田　ひとみ</v>
      </c>
      <c r="G15" s="182"/>
      <c r="H15" s="182"/>
      <c r="I15" s="182"/>
    </row>
    <row r="16" spans="2:9" ht="16.5" x14ac:dyDescent="0.4">
      <c r="B16" s="179"/>
      <c r="C16" s="183" t="str">
        <f>各種設定!C17</f>
        <v>普通　6275173</v>
      </c>
      <c r="D16" s="183"/>
      <c r="F16" s="182"/>
      <c r="G16" s="182"/>
      <c r="H16" s="182"/>
      <c r="I16" s="182"/>
    </row>
    <row r="17" spans="1:9" ht="16.5" customHeight="1" x14ac:dyDescent="0.4">
      <c r="B17" s="180"/>
      <c r="C17" s="184" t="str">
        <f>各種設定!C18</f>
        <v>マツダ　ヒトミ</v>
      </c>
      <c r="D17" s="184"/>
      <c r="E17" s="138"/>
      <c r="F17" s="185" t="str">
        <f>各種設定!C11</f>
        <v>090-8657-6721</v>
      </c>
      <c r="G17" s="185"/>
      <c r="H17" s="185"/>
      <c r="I17" s="185"/>
    </row>
    <row r="18" spans="1:9" ht="14.25" x14ac:dyDescent="0.15">
      <c r="B18" s="169" t="s">
        <v>14</v>
      </c>
      <c r="C18" s="171">
        <f>I43</f>
        <v>3300</v>
      </c>
      <c r="D18" s="171"/>
      <c r="E18" s="138"/>
      <c r="F18" s="172" t="str">
        <f>各種設定!C12</f>
        <v>hitomi@1103slabo.com</v>
      </c>
      <c r="G18" s="172"/>
      <c r="H18" s="172"/>
      <c r="I18" s="172"/>
    </row>
    <row r="19" spans="1:9" ht="34.5" customHeight="1" x14ac:dyDescent="0.15">
      <c r="B19" s="170"/>
      <c r="C19" s="171"/>
      <c r="D19" s="171"/>
      <c r="E19" s="138"/>
      <c r="F19" s="138"/>
      <c r="G19" s="138"/>
      <c r="H19" s="138"/>
      <c r="I19" s="138"/>
    </row>
    <row r="20" spans="1:9" ht="12.75" customHeight="1" x14ac:dyDescent="0.15">
      <c r="B20" s="17"/>
      <c r="C20" s="17"/>
      <c r="D20" s="17"/>
      <c r="E20" s="138"/>
      <c r="F20" s="138"/>
      <c r="G20" s="138"/>
      <c r="H20" s="138"/>
      <c r="I20" s="138"/>
    </row>
    <row r="21" spans="1:9" ht="13.5" customHeight="1" x14ac:dyDescent="0.15">
      <c r="B21" s="25" t="s">
        <v>0</v>
      </c>
      <c r="C21" s="25"/>
      <c r="D21" s="25"/>
      <c r="E21" s="25"/>
      <c r="F21" s="25"/>
      <c r="G21" s="25"/>
      <c r="H21" s="25"/>
      <c r="I21" s="25"/>
    </row>
    <row r="22" spans="1:9" ht="13.5" customHeight="1" x14ac:dyDescent="0.15">
      <c r="B22" s="25" t="s">
        <v>15</v>
      </c>
      <c r="C22" s="25"/>
      <c r="D22" s="25"/>
      <c r="E22" s="25"/>
      <c r="F22" s="25"/>
      <c r="G22" s="25"/>
      <c r="H22" s="25"/>
      <c r="I22" s="25"/>
    </row>
    <row r="23" spans="1:9" ht="13.5" customHeight="1" x14ac:dyDescent="0.15">
      <c r="B23" s="25"/>
      <c r="C23" s="25"/>
      <c r="D23" s="25"/>
      <c r="E23" s="25"/>
      <c r="F23" s="25"/>
      <c r="G23" s="25"/>
      <c r="H23" s="25"/>
      <c r="I23" s="25"/>
    </row>
    <row r="24" spans="1:9" ht="13.5" customHeight="1" x14ac:dyDescent="0.15">
      <c r="B24" s="25"/>
      <c r="C24" s="25"/>
      <c r="D24" s="25"/>
      <c r="E24" s="25"/>
      <c r="F24" s="25"/>
      <c r="G24" s="25"/>
      <c r="H24" s="25"/>
      <c r="I24" s="25"/>
    </row>
    <row r="25" spans="1:9" ht="13.5" customHeight="1" x14ac:dyDescent="0.15">
      <c r="B25" s="19" t="s">
        <v>1</v>
      </c>
      <c r="C25" s="18"/>
      <c r="D25" s="18"/>
      <c r="E25" s="18"/>
      <c r="F25" s="18"/>
      <c r="G25" s="18"/>
      <c r="H25" s="18"/>
      <c r="I25" s="18"/>
    </row>
    <row r="26" spans="1:9" s="44" customFormat="1" ht="20.25" customHeight="1" x14ac:dyDescent="0.15">
      <c r="A26" s="44" t="s">
        <v>18</v>
      </c>
      <c r="B26" s="173" t="s">
        <v>26</v>
      </c>
      <c r="C26" s="173"/>
      <c r="D26" s="173"/>
      <c r="E26" s="173"/>
      <c r="F26" s="45" t="s">
        <v>2</v>
      </c>
      <c r="G26" s="45" t="s">
        <v>3</v>
      </c>
      <c r="H26" s="46" t="s">
        <v>11</v>
      </c>
      <c r="I26" s="46" t="s">
        <v>4</v>
      </c>
    </row>
    <row r="27" spans="1:9" ht="20.25" customHeight="1" x14ac:dyDescent="0.15">
      <c r="A27" s="1" t="s">
        <v>133</v>
      </c>
      <c r="B27" s="174" t="str">
        <f>IF(ISBLANK($A27),"",VLOOKUP($A27,商品マスタ!$A$2:$E$7,2,FALSE))</f>
        <v>PCトラブル・メール相談</v>
      </c>
      <c r="C27" s="175"/>
      <c r="D27" s="161" t="s">
        <v>135</v>
      </c>
      <c r="E27" s="162"/>
      <c r="F27" s="11">
        <f>IF(ISBLANK($A27),"",VLOOKUP($A27,商品マスタ,5,FALSE))</f>
        <v>1000</v>
      </c>
      <c r="G27" s="49">
        <v>1</v>
      </c>
      <c r="H27" s="47" t="str">
        <f t="shared" ref="H27:H40" si="0">IF(ISBLANK($A27),"",VLOOKUP($A27,商品マスタ,4,FALSE))</f>
        <v>案件</v>
      </c>
      <c r="I27" s="13">
        <f>IF(G27="","",F27*G27)</f>
        <v>1000</v>
      </c>
    </row>
    <row r="28" spans="1:9" ht="20.25" customHeight="1" x14ac:dyDescent="0.15">
      <c r="A28" s="1" t="s">
        <v>133</v>
      </c>
      <c r="B28" s="167" t="str">
        <f>IF(ISBLANK($A28),"",VLOOKUP($A28,商品マスタ!$A$2:$E$7,2,FALSE))</f>
        <v>PCトラブル・メール相談</v>
      </c>
      <c r="C28" s="168"/>
      <c r="D28" s="161" t="s">
        <v>136</v>
      </c>
      <c r="E28" s="162"/>
      <c r="F28" s="11">
        <f>IF(ISBLANK($A28),"",VLOOKUP($A28,商品マスタ,5,FALSE))</f>
        <v>1000</v>
      </c>
      <c r="G28" s="49">
        <v>1</v>
      </c>
      <c r="H28" s="47" t="str">
        <f t="shared" si="0"/>
        <v>案件</v>
      </c>
      <c r="I28" s="13">
        <f t="shared" ref="I28:I29" si="1">IF(G28="","",F28*G28)</f>
        <v>1000</v>
      </c>
    </row>
    <row r="29" spans="1:9" ht="20.25" customHeight="1" x14ac:dyDescent="0.15">
      <c r="A29" s="1" t="s">
        <v>133</v>
      </c>
      <c r="B29" s="167" t="str">
        <f>IF(ISBLANK($A29),"",VLOOKUP($A29,商品マスタ!$A$2:$E$7,2,FALSE))</f>
        <v>PCトラブル・メール相談</v>
      </c>
      <c r="C29" s="168"/>
      <c r="D29" s="161" t="s">
        <v>134</v>
      </c>
      <c r="E29" s="162"/>
      <c r="F29" s="11">
        <f>IF(ISBLANK($A29),"",VLOOKUP($A29,商品マスタ,5,FALSE))</f>
        <v>1000</v>
      </c>
      <c r="G29" s="49">
        <v>1</v>
      </c>
      <c r="H29" s="47" t="str">
        <f t="shared" si="0"/>
        <v>案件</v>
      </c>
      <c r="I29" s="13">
        <f t="shared" si="1"/>
        <v>1000</v>
      </c>
    </row>
    <row r="30" spans="1:9" ht="20.25" customHeight="1" x14ac:dyDescent="0.15">
      <c r="B30" s="159" t="str">
        <f>IF(ISBLANK($A30),"",VLOOKUP($A30,#REF!,2,FALSE))</f>
        <v/>
      </c>
      <c r="C30" s="160"/>
      <c r="D30" s="161" t="str">
        <f>IF(ISBLANK($A30),"",VLOOKUP($A30,#REF!,3,FALSE))</f>
        <v/>
      </c>
      <c r="E30" s="162"/>
      <c r="F30" s="11" t="str">
        <f>IF(ISBLANK($A30),"",VLOOKUP($A30,#REF!,5,FALSE))</f>
        <v/>
      </c>
      <c r="G30" s="12"/>
      <c r="H30" s="47" t="str">
        <f t="shared" si="0"/>
        <v/>
      </c>
      <c r="I30" s="13" t="str">
        <f t="shared" ref="I30:I40" si="2">IF(G30="","",F30*G30)</f>
        <v/>
      </c>
    </row>
    <row r="31" spans="1:9" ht="20.25" customHeight="1" x14ac:dyDescent="0.15">
      <c r="B31" s="159" t="str">
        <f>IF(ISBLANK($A31),"",VLOOKUP($A31,#REF!,2,FALSE))</f>
        <v/>
      </c>
      <c r="C31" s="160"/>
      <c r="D31" s="161" t="s">
        <v>128</v>
      </c>
      <c r="E31" s="162"/>
      <c r="F31" s="11" t="str">
        <f>IF(ISBLANK($A31),"",VLOOKUP($A31,#REF!,5,FALSE))</f>
        <v/>
      </c>
      <c r="G31" s="12"/>
      <c r="H31" s="47" t="str">
        <f t="shared" si="0"/>
        <v/>
      </c>
      <c r="I31" s="13" t="str">
        <f t="shared" si="2"/>
        <v/>
      </c>
    </row>
    <row r="32" spans="1:9" ht="20.25" customHeight="1" x14ac:dyDescent="0.15">
      <c r="B32" s="159" t="str">
        <f>IF(ISBLANK($A32),"",VLOOKUP($A32,#REF!,2,FALSE))</f>
        <v/>
      </c>
      <c r="C32" s="160"/>
      <c r="D32" s="161" t="s">
        <v>129</v>
      </c>
      <c r="E32" s="162"/>
      <c r="F32" s="11" t="str">
        <f>IF(ISBLANK($A32),"",VLOOKUP($A32,#REF!,5,FALSE))</f>
        <v/>
      </c>
      <c r="G32" s="12"/>
      <c r="H32" s="47" t="str">
        <f t="shared" si="0"/>
        <v/>
      </c>
      <c r="I32" s="13" t="str">
        <f t="shared" si="2"/>
        <v/>
      </c>
    </row>
    <row r="33" spans="2:9" ht="20.25" customHeight="1" x14ac:dyDescent="0.15">
      <c r="B33" s="159" t="str">
        <f>IF(ISBLANK($A33),"",VLOOKUP($A33,#REF!,2,FALSE))</f>
        <v/>
      </c>
      <c r="C33" s="160"/>
      <c r="D33" s="161" t="str">
        <f>IF(ISBLANK($A33),"",VLOOKUP($A33,#REF!,3,FALSE))</f>
        <v/>
      </c>
      <c r="E33" s="162"/>
      <c r="F33" s="11" t="str">
        <f>IF(ISBLANK($A33),"",VLOOKUP($A33,#REF!,5,FALSE))</f>
        <v/>
      </c>
      <c r="G33" s="12"/>
      <c r="H33" s="47" t="str">
        <f t="shared" si="0"/>
        <v/>
      </c>
      <c r="I33" s="13" t="str">
        <f t="shared" si="2"/>
        <v/>
      </c>
    </row>
    <row r="34" spans="2:9" ht="20.25" customHeight="1" x14ac:dyDescent="0.15">
      <c r="B34" s="159" t="str">
        <f>IF(ISBLANK($A34),"",VLOOKUP($A34,#REF!,2,FALSE))</f>
        <v/>
      </c>
      <c r="C34" s="160"/>
      <c r="D34" s="161" t="str">
        <f>IF(ISBLANK($A34),"",VLOOKUP($A34,#REF!,3,FALSE))</f>
        <v/>
      </c>
      <c r="E34" s="162"/>
      <c r="F34" s="11" t="str">
        <f>IF(ISBLANK($A34),"",VLOOKUP($A34,#REF!,5,FALSE))</f>
        <v/>
      </c>
      <c r="G34" s="12"/>
      <c r="H34" s="47" t="str">
        <f t="shared" si="0"/>
        <v/>
      </c>
      <c r="I34" s="13" t="str">
        <f t="shared" si="2"/>
        <v/>
      </c>
    </row>
    <row r="35" spans="2:9" ht="20.25" customHeight="1" x14ac:dyDescent="0.15">
      <c r="B35" s="163" t="str">
        <f>IF(ISBLANK($A35),"",VLOOKUP($A35,#REF!,2,FALSE))</f>
        <v/>
      </c>
      <c r="C35" s="164"/>
      <c r="D35" s="165" t="str">
        <f>IF(ISBLANK($A35),"",VLOOKUP($A35,#REF!,3,FALSE))</f>
        <v/>
      </c>
      <c r="E35" s="166"/>
      <c r="F35" s="11" t="str">
        <f>IF(ISBLANK($A35),"",VLOOKUP($A35,#REF!,5,FALSE))</f>
        <v/>
      </c>
      <c r="G35" s="12"/>
      <c r="H35" s="47" t="str">
        <f t="shared" si="0"/>
        <v/>
      </c>
      <c r="I35" s="13" t="str">
        <f t="shared" si="2"/>
        <v/>
      </c>
    </row>
    <row r="36" spans="2:9" ht="20.25" customHeight="1" x14ac:dyDescent="0.15">
      <c r="B36" s="163" t="str">
        <f>IF(ISBLANK($A36),"",VLOOKUP($A36,#REF!,2,FALSE))</f>
        <v/>
      </c>
      <c r="C36" s="164"/>
      <c r="D36" s="165" t="str">
        <f>IF(ISBLANK($A36),"",VLOOKUP($A36,#REF!,3,FALSE))</f>
        <v/>
      </c>
      <c r="E36" s="166"/>
      <c r="F36" s="11" t="str">
        <f>IF(ISBLANK($A36),"",VLOOKUP($A36,#REF!,5,FALSE))</f>
        <v/>
      </c>
      <c r="G36" s="12"/>
      <c r="H36" s="47" t="str">
        <f t="shared" si="0"/>
        <v/>
      </c>
      <c r="I36" s="13" t="str">
        <f t="shared" si="2"/>
        <v/>
      </c>
    </row>
    <row r="37" spans="2:9" ht="20.25" customHeight="1" x14ac:dyDescent="0.15">
      <c r="B37" s="159" t="str">
        <f>IF(ISBLANK($A37),"",VLOOKUP($A37,#REF!,2,FALSE))</f>
        <v/>
      </c>
      <c r="C37" s="160"/>
      <c r="D37" s="161" t="str">
        <f>IF(ISBLANK($A37),"",VLOOKUP($A37,#REF!,3,FALSE))</f>
        <v/>
      </c>
      <c r="E37" s="162"/>
      <c r="F37" s="11" t="str">
        <f>IF(ISBLANK($A37),"",VLOOKUP($A37,#REF!,5,FALSE))</f>
        <v/>
      </c>
      <c r="G37" s="12"/>
      <c r="H37" s="47" t="str">
        <f t="shared" si="0"/>
        <v/>
      </c>
      <c r="I37" s="13" t="str">
        <f t="shared" si="2"/>
        <v/>
      </c>
    </row>
    <row r="38" spans="2:9" ht="20.25" customHeight="1" x14ac:dyDescent="0.15">
      <c r="B38" s="159" t="str">
        <f>IF(ISBLANK($A38),"",VLOOKUP($A38,#REF!,2,FALSE))</f>
        <v/>
      </c>
      <c r="C38" s="160"/>
      <c r="D38" s="161" t="str">
        <f>IF(ISBLANK($A38),"",VLOOKUP($A38,#REF!,3,FALSE))</f>
        <v/>
      </c>
      <c r="E38" s="162"/>
      <c r="F38" s="11" t="str">
        <f>IF(ISBLANK($A38),"",VLOOKUP($A38,#REF!,5,FALSE))</f>
        <v/>
      </c>
      <c r="G38" s="14"/>
      <c r="H38" s="47" t="str">
        <f t="shared" si="0"/>
        <v/>
      </c>
      <c r="I38" s="13" t="str">
        <f t="shared" si="2"/>
        <v/>
      </c>
    </row>
    <row r="39" spans="2:9" ht="20.25" customHeight="1" x14ac:dyDescent="0.15">
      <c r="B39" s="159" t="str">
        <f>IF(ISBLANK($A39),"",VLOOKUP($A39,#REF!,2,FALSE))</f>
        <v/>
      </c>
      <c r="C39" s="160"/>
      <c r="D39" s="161" t="str">
        <f>IF(ISBLANK($A39),"",VLOOKUP($A39,#REF!,3,FALSE))</f>
        <v/>
      </c>
      <c r="E39" s="162"/>
      <c r="F39" s="11" t="str">
        <f>IF(ISBLANK($A39),"",VLOOKUP($A39,#REF!,5,FALSE))</f>
        <v/>
      </c>
      <c r="G39" s="14"/>
      <c r="H39" s="47" t="str">
        <f t="shared" si="0"/>
        <v/>
      </c>
      <c r="I39" s="13" t="str">
        <f t="shared" si="2"/>
        <v/>
      </c>
    </row>
    <row r="40" spans="2:9" ht="20.25" customHeight="1" x14ac:dyDescent="0.15">
      <c r="B40" s="151" t="str">
        <f>IF(ISBLANK($A40),"",VLOOKUP($A40,#REF!,2,FALSE))</f>
        <v/>
      </c>
      <c r="C40" s="152"/>
      <c r="D40" s="153" t="str">
        <f>IF(ISBLANK($A40),"",VLOOKUP($A40,#REF!,3,FALSE))</f>
        <v/>
      </c>
      <c r="E40" s="154"/>
      <c r="F40" s="15" t="str">
        <f>IF(ISBLANK($A40),"",VLOOKUP($A40,#REF!,5,FALSE))</f>
        <v/>
      </c>
      <c r="G40" s="16"/>
      <c r="H40" s="48" t="str">
        <f t="shared" si="0"/>
        <v/>
      </c>
      <c r="I40" s="58" t="str">
        <f t="shared" si="2"/>
        <v/>
      </c>
    </row>
    <row r="41" spans="2:9" ht="18.75" customHeight="1" x14ac:dyDescent="0.15">
      <c r="F41" s="155" t="s">
        <v>5</v>
      </c>
      <c r="G41" s="155"/>
      <c r="H41" s="155"/>
      <c r="I41" s="50">
        <f>SUM(I27:I40)</f>
        <v>3000</v>
      </c>
    </row>
    <row r="42" spans="2:9" ht="18.75" customHeight="1" x14ac:dyDescent="0.15">
      <c r="F42" s="156" t="s">
        <v>6</v>
      </c>
      <c r="G42" s="156"/>
      <c r="H42" s="156"/>
      <c r="I42" s="50">
        <f>I41*各種設定!C2</f>
        <v>300</v>
      </c>
    </row>
    <row r="43" spans="2:9" ht="18.75" customHeight="1" thickBot="1" x14ac:dyDescent="0.2">
      <c r="F43" s="157" t="s">
        <v>7</v>
      </c>
      <c r="G43" s="157"/>
      <c r="H43" s="157"/>
      <c r="I43" s="51">
        <f>SUM(I41:I42)</f>
        <v>3300</v>
      </c>
    </row>
    <row r="44" spans="2:9" ht="13.5" customHeight="1" thickTop="1" x14ac:dyDescent="0.15"/>
    <row r="45" spans="2:9" ht="13.5" customHeight="1" x14ac:dyDescent="0.15">
      <c r="B45" s="19" t="s">
        <v>8</v>
      </c>
      <c r="C45" s="6"/>
      <c r="D45" s="6"/>
      <c r="E45" s="6"/>
      <c r="F45" s="6"/>
      <c r="G45" s="6"/>
      <c r="H45" s="6"/>
      <c r="I45" s="6"/>
    </row>
    <row r="46" spans="2:9" ht="4.5" customHeight="1" x14ac:dyDescent="0.15">
      <c r="B46" s="20"/>
      <c r="C46" s="7"/>
      <c r="D46" s="7"/>
      <c r="E46" s="7"/>
      <c r="F46" s="7"/>
    </row>
    <row r="47" spans="2:9" ht="13.5" customHeight="1" x14ac:dyDescent="0.15">
      <c r="B47" s="17"/>
    </row>
    <row r="48" spans="2:9" ht="13.5" customHeight="1" x14ac:dyDescent="0.15">
      <c r="B48" s="17"/>
    </row>
    <row r="49" spans="2:9" ht="13.5" customHeight="1" x14ac:dyDescent="0.15">
      <c r="B49" s="17"/>
    </row>
    <row r="50" spans="2:9" ht="13.5" customHeight="1" x14ac:dyDescent="0.15">
      <c r="B50" s="17"/>
    </row>
    <row r="51" spans="2:9" ht="13.5" customHeight="1" x14ac:dyDescent="0.15">
      <c r="B51" s="17"/>
    </row>
    <row r="52" spans="2:9" ht="13.5" customHeight="1" x14ac:dyDescent="0.15">
      <c r="B52" s="17"/>
    </row>
    <row r="53" spans="2:9" ht="13.5" customHeight="1" x14ac:dyDescent="0.15">
      <c r="B53" s="158"/>
      <c r="C53" s="158"/>
      <c r="D53" s="158"/>
      <c r="E53" s="158"/>
      <c r="F53" s="158"/>
      <c r="G53" s="158"/>
      <c r="H53" s="158"/>
      <c r="I53" s="158"/>
    </row>
  </sheetData>
  <mergeCells count="57">
    <mergeCell ref="C13:D13"/>
    <mergeCell ref="F13:I13"/>
    <mergeCell ref="B2:I2"/>
    <mergeCell ref="B3:I3"/>
    <mergeCell ref="F4:I4"/>
    <mergeCell ref="B5:D6"/>
    <mergeCell ref="F5:I5"/>
    <mergeCell ref="F6:I6"/>
    <mergeCell ref="B7:D8"/>
    <mergeCell ref="F7:I7"/>
    <mergeCell ref="E8:E10"/>
    <mergeCell ref="F8:I8"/>
    <mergeCell ref="B10:D10"/>
    <mergeCell ref="C14:D14"/>
    <mergeCell ref="F14:I14"/>
    <mergeCell ref="B15:B17"/>
    <mergeCell ref="C15:D15"/>
    <mergeCell ref="F15:I16"/>
    <mergeCell ref="C16:D16"/>
    <mergeCell ref="C17:D17"/>
    <mergeCell ref="F17:I17"/>
    <mergeCell ref="B18:B19"/>
    <mergeCell ref="C18:D19"/>
    <mergeCell ref="F18:I18"/>
    <mergeCell ref="B26:E26"/>
    <mergeCell ref="B27:C27"/>
    <mergeCell ref="D27:E27"/>
    <mergeCell ref="B28:C28"/>
    <mergeCell ref="D28:E28"/>
    <mergeCell ref="B29:C29"/>
    <mergeCell ref="D29:E29"/>
    <mergeCell ref="B30:C30"/>
    <mergeCell ref="D30:E30"/>
    <mergeCell ref="B31:C31"/>
    <mergeCell ref="D31:E31"/>
    <mergeCell ref="B32:C32"/>
    <mergeCell ref="D32:E32"/>
    <mergeCell ref="B33:C33"/>
    <mergeCell ref="D33:E33"/>
    <mergeCell ref="B34:C34"/>
    <mergeCell ref="D34:E34"/>
    <mergeCell ref="B35:C35"/>
    <mergeCell ref="D35:E35"/>
    <mergeCell ref="B36:C36"/>
    <mergeCell ref="D36:E36"/>
    <mergeCell ref="B53:I53"/>
    <mergeCell ref="B37:C37"/>
    <mergeCell ref="D37:E37"/>
    <mergeCell ref="B38:C38"/>
    <mergeCell ref="D38:E38"/>
    <mergeCell ref="B39:C39"/>
    <mergeCell ref="D39:E39"/>
    <mergeCell ref="B40:C40"/>
    <mergeCell ref="D40:E40"/>
    <mergeCell ref="F41:H41"/>
    <mergeCell ref="F42:H42"/>
    <mergeCell ref="F43:H43"/>
  </mergeCells>
  <phoneticPr fontId="4"/>
  <conditionalFormatting sqref="D27 D29:D40 B29:B40 F30:I40 F27:G29">
    <cfRule type="expression" dxfId="62" priority="4">
      <formula>MOD(ROW(),2)=1</formula>
    </cfRule>
  </conditionalFormatting>
  <conditionalFormatting sqref="B28 D28">
    <cfRule type="expression" dxfId="61" priority="3">
      <formula>MOD(ROW(),2)=1</formula>
    </cfRule>
  </conditionalFormatting>
  <conditionalFormatting sqref="H27:I29">
    <cfRule type="expression" dxfId="60" priority="2">
      <formula>MOD(ROW(),2)=1</formula>
    </cfRule>
  </conditionalFormatting>
  <conditionalFormatting sqref="B27">
    <cfRule type="expression" dxfId="59" priority="1">
      <formula>MOD(ROW(),2)=1</formula>
    </cfRule>
  </conditionalFormatting>
  <printOptions horizontalCentered="1"/>
  <pageMargins left="0.74803149606299213" right="0.27559055118110237" top="0.59055118110236227" bottom="0.59055118110236227" header="0.31496062992125984" footer="0.19685039370078741"/>
  <pageSetup paperSize="9" scale="94" orientation="portrait" horizontalDpi="4294967293"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C536CE-84C7-435D-9B6B-99BCF43CEDB1}">
  <sheetPr codeName="Sheet2"/>
  <dimension ref="A1:F26"/>
  <sheetViews>
    <sheetView workbookViewId="0">
      <selection activeCell="C11" sqref="C11"/>
    </sheetView>
  </sheetViews>
  <sheetFormatPr defaultRowHeight="13.5" x14ac:dyDescent="0.15"/>
  <cols>
    <col min="1" max="1" width="11" bestFit="1" customWidth="1"/>
    <col min="3" max="3" width="19.25" bestFit="1" customWidth="1"/>
    <col min="4" max="4" width="16.25" bestFit="1" customWidth="1"/>
    <col min="6" max="6" width="10.5" style="144" bestFit="1" customWidth="1"/>
  </cols>
  <sheetData>
    <row r="1" spans="1:6" x14ac:dyDescent="0.15">
      <c r="A1" s="111" t="s">
        <v>76</v>
      </c>
      <c r="B1" s="111" t="s">
        <v>77</v>
      </c>
      <c r="C1" s="111" t="s">
        <v>60</v>
      </c>
      <c r="D1" s="111" t="s">
        <v>78</v>
      </c>
      <c r="E1" s="111" t="s">
        <v>79</v>
      </c>
      <c r="F1" s="143" t="s">
        <v>131</v>
      </c>
    </row>
    <row r="2" spans="1:6" x14ac:dyDescent="0.15">
      <c r="A2">
        <v>20180001</v>
      </c>
      <c r="B2">
        <v>1</v>
      </c>
      <c r="C2" t="str">
        <f>IF(ISBLANK(B2),"",IF(ISBLANK(VLOOKUP(B2,顧客情報!$A$2:$C$25,2,FALSE)),"",VLOOKUP(B2,顧客情報!$A$2:$C$25,2,FALSE)))</f>
        <v>女性共同法律事務所</v>
      </c>
      <c r="D2" t="str">
        <f>IF(ISBLANK(B2),"",VLOOKUP(B2,顧客情報!$A$2:$C$25,3,FALSE))</f>
        <v>宮地</v>
      </c>
      <c r="E2" t="str">
        <f>IF(ISBLANK(B2),"",VLOOKUP(B2,顧客情報!$A$2:$D$25,4,FALSE))</f>
        <v>様</v>
      </c>
    </row>
    <row r="3" spans="1:6" x14ac:dyDescent="0.15">
      <c r="A3">
        <v>20180002</v>
      </c>
      <c r="B3">
        <v>2</v>
      </c>
      <c r="C3" t="str">
        <f>IF(ISBLANK(B3),"",IF(ISBLANK(VLOOKUP(B3,顧客情報!$A$2:$C$25,2,FALSE)),"",VLOOKUP(B3,顧客情報!$A$2:$C$25,2,FALSE)))</f>
        <v/>
      </c>
      <c r="D3" t="str">
        <f>IF(ISBLANK(B3),"",VLOOKUP(B3,顧客情報!$A$2:$C$25,3,FALSE))</f>
        <v>宮地 光子</v>
      </c>
      <c r="E3" t="str">
        <f>IF(ISBLANK(B3),"",VLOOKUP(B3,顧客情報!$A$2:$D$25,4,FALSE))</f>
        <v>様</v>
      </c>
    </row>
    <row r="4" spans="1:6" x14ac:dyDescent="0.15">
      <c r="A4">
        <v>20180003</v>
      </c>
      <c r="B4">
        <v>1</v>
      </c>
      <c r="C4" t="str">
        <f>IF(ISBLANK(B4),"",IF(ISBLANK(VLOOKUP(B4,顧客情報!$A$2:$C$25,2,FALSE)),"",VLOOKUP(B4,顧客情報!$A$2:$C$25,2,FALSE)))</f>
        <v>女性共同法律事務所</v>
      </c>
      <c r="D4" t="str">
        <f>IF(ISBLANK(B4),"",VLOOKUP(B4,顧客情報!$A$2:$C$25,3,FALSE))</f>
        <v>宮地</v>
      </c>
      <c r="E4" t="str">
        <f>IF(ISBLANK(B4),"",VLOOKUP(B4,顧客情報!$A$2:$D$25,4,FALSE))</f>
        <v>様</v>
      </c>
    </row>
    <row r="5" spans="1:6" x14ac:dyDescent="0.15">
      <c r="A5">
        <v>20180004</v>
      </c>
      <c r="B5">
        <v>1</v>
      </c>
      <c r="C5" t="str">
        <f>IF(ISBLANK(B5),"",IF(ISBLANK(VLOOKUP(B5,顧客情報!$A$2:$C$25,2,FALSE)),"",VLOOKUP(B5,顧客情報!$A$2:$C$25,2,FALSE)))</f>
        <v>女性共同法律事務所</v>
      </c>
      <c r="D5" t="str">
        <f>IF(ISBLANK(B5),"",VLOOKUP(B5,顧客情報!$A$2:$C$25,3,FALSE))</f>
        <v>宮地</v>
      </c>
      <c r="E5" t="str">
        <f>IF(ISBLANK(B5),"",VLOOKUP(B5,顧客情報!$A$2:$D$25,4,FALSE))</f>
        <v>様</v>
      </c>
    </row>
    <row r="6" spans="1:6" x14ac:dyDescent="0.15">
      <c r="A6">
        <v>20190001</v>
      </c>
      <c r="B6">
        <v>1</v>
      </c>
      <c r="C6" t="str">
        <f>IF(ISBLANK(B6),"",IF(ISBLANK(VLOOKUP(B6,顧客情報!$A$2:$C$25,2,FALSE)),"",VLOOKUP(B6,顧客情報!$A$2:$C$25,2,FALSE)))</f>
        <v>女性共同法律事務所</v>
      </c>
      <c r="D6" t="str">
        <f>IF(ISBLANK(B6),"",VLOOKUP(B6,顧客情報!$A$2:$C$25,3,FALSE))</f>
        <v>宮地</v>
      </c>
      <c r="E6" t="str">
        <f>IF(ISBLANK(B6),"",VLOOKUP(B6,顧客情報!$A$2:$D$25,4,FALSE))</f>
        <v>様</v>
      </c>
    </row>
    <row r="7" spans="1:6" x14ac:dyDescent="0.15">
      <c r="A7">
        <v>20200001</v>
      </c>
      <c r="B7">
        <v>1</v>
      </c>
      <c r="C7" t="str">
        <f>IF(ISBLANK(B7),"",IF(ISBLANK(VLOOKUP(B7,顧客情報!$A$2:$C$25,2,FALSE)),"",VLOOKUP(B7,顧客情報!$A$2:$C$25,2,FALSE)))</f>
        <v>女性共同法律事務所</v>
      </c>
      <c r="D7" t="str">
        <f>IF(ISBLANK(B7),"",VLOOKUP(B7,顧客情報!$A$2:$C$25,3,FALSE))</f>
        <v>宮地</v>
      </c>
      <c r="E7" t="str">
        <f>IF(ISBLANK(B7),"",VLOOKUP(B7,顧客情報!$A$2:$D$25,4,FALSE))</f>
        <v>様</v>
      </c>
    </row>
    <row r="8" spans="1:6" x14ac:dyDescent="0.15">
      <c r="A8">
        <v>20200002</v>
      </c>
      <c r="B8">
        <v>1</v>
      </c>
      <c r="C8" t="str">
        <f>IF(ISBLANK(B8),"",IF(ISBLANK(VLOOKUP(B8,顧客情報!$A$2:$C$25,2,FALSE)),"",VLOOKUP(B8,顧客情報!$A$2:$C$25,2,FALSE)))</f>
        <v>女性共同法律事務所</v>
      </c>
      <c r="D8" t="str">
        <f>IF(ISBLANK(B8),"",VLOOKUP(B8,顧客情報!$A$2:$C$25,3,FALSE))</f>
        <v>宮地</v>
      </c>
      <c r="E8" t="str">
        <f>IF(ISBLANK(B8),"",VLOOKUP(B8,顧客情報!$A$2:$D$25,4,FALSE))</f>
        <v>様</v>
      </c>
    </row>
    <row r="9" spans="1:6" x14ac:dyDescent="0.15">
      <c r="A9">
        <v>20200003</v>
      </c>
      <c r="B9">
        <v>3</v>
      </c>
      <c r="C9" t="str">
        <f>IF(ISBLANK(B9),"",IF(ISBLANK(VLOOKUP(B9,顧客情報!$A$2:$C$25,2,FALSE)),"",VLOOKUP(B9,顧客情報!$A$2:$C$25,2,FALSE)))</f>
        <v/>
      </c>
      <c r="D9" t="str">
        <f>IF(ISBLANK(B9),"",VLOOKUP(B9,顧客情報!$A$2:$C$25,3,FALSE))</f>
        <v>越堂　静子</v>
      </c>
      <c r="E9" t="str">
        <f>IF(ISBLANK(B9),"",VLOOKUP(B9,顧客情報!$A$2:$D$25,4,FALSE))</f>
        <v>様</v>
      </c>
    </row>
    <row r="10" spans="1:6" x14ac:dyDescent="0.15">
      <c r="A10">
        <v>20200005</v>
      </c>
      <c r="B10">
        <v>1</v>
      </c>
      <c r="C10" t="str">
        <f>IF(ISBLANK(B10),"",IF(ISBLANK(VLOOKUP(B10,顧客情報!$A$2:$C$25,2,FALSE)),"",VLOOKUP(B10,顧客情報!$A$2:$C$25,2,FALSE)))</f>
        <v>女性共同法律事務所</v>
      </c>
      <c r="D10" t="str">
        <f>IF(ISBLANK(B10),"",VLOOKUP(B10,顧客情報!$A$2:$C$25,3,FALSE))</f>
        <v>宮地</v>
      </c>
      <c r="E10" t="str">
        <f>IF(ISBLANK(B10),"",VLOOKUP(B10,顧客情報!$A$2:$D$25,4,FALSE))</f>
        <v>様</v>
      </c>
    </row>
    <row r="11" spans="1:6" x14ac:dyDescent="0.15">
      <c r="A11">
        <v>20200006</v>
      </c>
      <c r="B11">
        <v>1</v>
      </c>
      <c r="C11" t="str">
        <f>IF(ISBLANK(B11),"",IF(ISBLANK(VLOOKUP(B11,顧客情報!$A$2:$C$25,2,FALSE)),"",VLOOKUP(B11,顧客情報!$A$2:$C$25,2,FALSE)))</f>
        <v>女性共同法律事務所</v>
      </c>
      <c r="D11" t="str">
        <f>IF(ISBLANK(B11),"",VLOOKUP(B11,顧客情報!$A$2:$C$25,3,FALSE))</f>
        <v>宮地</v>
      </c>
      <c r="E11" t="str">
        <f>IF(ISBLANK(B11),"",VLOOKUP(B11,顧客情報!$A$2:$D$25,4,FALSE))</f>
        <v>様</v>
      </c>
    </row>
    <row r="12" spans="1:6" x14ac:dyDescent="0.15">
      <c r="A12">
        <v>20200007</v>
      </c>
      <c r="B12">
        <v>1</v>
      </c>
      <c r="C12" t="str">
        <f>IF(ISBLANK(B12),"",IF(ISBLANK(VLOOKUP(B12,顧客情報!$A$2:$C$25,2,FALSE)),"",VLOOKUP(B12,顧客情報!$A$2:$C$25,2,FALSE)))</f>
        <v>女性共同法律事務所</v>
      </c>
      <c r="D12" t="str">
        <f>IF(ISBLANK(B12),"",VLOOKUP(B12,顧客情報!$A$2:$C$25,3,FALSE))</f>
        <v>宮地</v>
      </c>
      <c r="E12" t="str">
        <f>IF(ISBLANK(B12),"",VLOOKUP(B12,顧客情報!$A$2:$D$25,4,FALSE))</f>
        <v>様</v>
      </c>
    </row>
    <row r="13" spans="1:6" x14ac:dyDescent="0.15">
      <c r="A13">
        <v>20200008</v>
      </c>
      <c r="B13">
        <v>1</v>
      </c>
      <c r="C13" t="str">
        <f>IF(ISBLANK(B13),"",IF(ISBLANK(VLOOKUP(B13,顧客情報!$A$2:$C$25,2,FALSE)),"",VLOOKUP(B13,顧客情報!$A$2:$C$25,2,FALSE)))</f>
        <v>女性共同法律事務所</v>
      </c>
      <c r="D13" t="str">
        <f>IF(ISBLANK(B13),"",VLOOKUP(B13,顧客情報!$A$2:$C$25,3,FALSE))</f>
        <v>宮地</v>
      </c>
      <c r="E13" t="str">
        <f>IF(ISBLANK(B13),"",VLOOKUP(B13,顧客情報!$A$2:$D$25,4,FALSE))</f>
        <v>様</v>
      </c>
    </row>
    <row r="14" spans="1:6" x14ac:dyDescent="0.15">
      <c r="A14">
        <v>20200009</v>
      </c>
      <c r="B14">
        <v>1</v>
      </c>
      <c r="C14" t="str">
        <f>IF(ISBLANK(B14),"",IF(ISBLANK(VLOOKUP(B14,顧客情報!$A$2:$C$25,2,FALSE)),"",VLOOKUP(B14,顧客情報!$A$2:$C$25,2,FALSE)))</f>
        <v>女性共同法律事務所</v>
      </c>
      <c r="D14" t="str">
        <f>IF(ISBLANK(B14),"",VLOOKUP(B14,顧客情報!$A$2:$C$25,3,FALSE))</f>
        <v>宮地</v>
      </c>
      <c r="E14" t="str">
        <f>IF(ISBLANK(B14),"",VLOOKUP(B14,顧客情報!$A$2:$D$25,4,FALSE))</f>
        <v>様</v>
      </c>
    </row>
    <row r="15" spans="1:6" x14ac:dyDescent="0.15">
      <c r="A15">
        <v>20200010</v>
      </c>
      <c r="B15">
        <v>1</v>
      </c>
      <c r="C15" t="str">
        <f>IF(ISBLANK(B15),"",IF(ISBLANK(VLOOKUP(B15,顧客情報!$A$2:$C$25,2,FALSE)),"",VLOOKUP(B15,顧客情報!$A$2:$C$25,2,FALSE)))</f>
        <v>女性共同法律事務所</v>
      </c>
      <c r="D15" t="str">
        <f>IF(ISBLANK(B15),"",VLOOKUP(B15,顧客情報!$A$2:$C$25,3,FALSE))</f>
        <v>宮地</v>
      </c>
      <c r="E15" t="str">
        <f>IF(ISBLANK(B15),"",VLOOKUP(B15,顧客情報!$A$2:$D$25,4,FALSE))</f>
        <v>様</v>
      </c>
    </row>
    <row r="16" spans="1:6" x14ac:dyDescent="0.15">
      <c r="A16">
        <v>20210001</v>
      </c>
      <c r="B16">
        <v>1</v>
      </c>
      <c r="C16" t="str">
        <f>IF(ISBLANK(B16),"",IF(ISBLANK(VLOOKUP(B16,顧客情報!$A$2:$C$25,2,FALSE)),"",VLOOKUP(B16,顧客情報!$A$2:$C$25,2,FALSE)))</f>
        <v>女性共同法律事務所</v>
      </c>
      <c r="D16" t="str">
        <f>IF(ISBLANK(B16),"",VLOOKUP(B16,顧客情報!$A$2:$C$25,3,FALSE))</f>
        <v>宮地</v>
      </c>
      <c r="E16" t="str">
        <f>IF(ISBLANK(B16),"",VLOOKUP(B16,顧客情報!$A$2:$D$25,4,FALSE))</f>
        <v>様</v>
      </c>
      <c r="F16" s="144">
        <v>44255</v>
      </c>
    </row>
    <row r="17" spans="3:5" x14ac:dyDescent="0.15">
      <c r="C17" t="str">
        <f>IF(ISBLANK(B17),"",IF(ISBLANK(VLOOKUP(B17,顧客情報!$A$2:$C$25,2,FALSE)),"",VLOOKUP(B17,顧客情報!$A$2:$C$25,2,FALSE)))</f>
        <v/>
      </c>
      <c r="D17" t="str">
        <f>IF(ISBLANK(B17),"",VLOOKUP(B17,顧客情報!$A$2:$C$25,3,FALSE))</f>
        <v/>
      </c>
      <c r="E17" t="str">
        <f>IF(ISBLANK(B17),"",VLOOKUP(B17,顧客情報!$A$2:$D$25,4,FALSE))</f>
        <v/>
      </c>
    </row>
    <row r="18" spans="3:5" x14ac:dyDescent="0.15">
      <c r="C18" t="str">
        <f>IF(ISBLANK(B18),"",IF(ISBLANK(VLOOKUP(B18,顧客情報!$A$2:$C$25,2,FALSE)),"",VLOOKUP(B18,顧客情報!$A$2:$C$25,2,FALSE)))</f>
        <v/>
      </c>
      <c r="D18" t="str">
        <f>IF(ISBLANK(B18),"",VLOOKUP(B18,顧客情報!$A$2:$C$25,3,FALSE))</f>
        <v/>
      </c>
      <c r="E18" t="str">
        <f>IF(ISBLANK(B18),"",VLOOKUP(B18,顧客情報!$A$2:$D$25,4,FALSE))</f>
        <v/>
      </c>
    </row>
    <row r="19" spans="3:5" x14ac:dyDescent="0.15">
      <c r="C19" t="str">
        <f>IF(ISBLANK(B19),"",IF(ISBLANK(VLOOKUP(B19,顧客情報!$A$2:$C$25,2,FALSE)),"",VLOOKUP(B19,顧客情報!$A$2:$C$25,2,FALSE)))</f>
        <v/>
      </c>
      <c r="D19" t="str">
        <f>IF(ISBLANK(B19),"",VLOOKUP(B19,顧客情報!$A$2:$C$25,3,FALSE))</f>
        <v/>
      </c>
      <c r="E19" t="str">
        <f>IF(ISBLANK(B19),"",VLOOKUP(B19,顧客情報!$A$2:$D$25,4,FALSE))</f>
        <v/>
      </c>
    </row>
    <row r="20" spans="3:5" x14ac:dyDescent="0.15">
      <c r="C20" t="str">
        <f>IF(ISBLANK(B20),"",IF(ISBLANK(VLOOKUP(B20,顧客情報!$A$2:$C$25,2,FALSE)),"",VLOOKUP(B20,顧客情報!$A$2:$C$25,2,FALSE)))</f>
        <v/>
      </c>
      <c r="D20" t="str">
        <f>IF(ISBLANK(B20),"",VLOOKUP(B20,顧客情報!$A$2:$C$25,3,FALSE))</f>
        <v/>
      </c>
      <c r="E20" t="str">
        <f>IF(ISBLANK(B20),"",VLOOKUP(B20,顧客情報!$A$2:$D$25,4,FALSE))</f>
        <v/>
      </c>
    </row>
    <row r="21" spans="3:5" x14ac:dyDescent="0.15">
      <c r="C21" t="str">
        <f>IF(ISBLANK(B21),"",IF(ISBLANK(VLOOKUP(B21,顧客情報!$A$2:$C$25,2,FALSE)),"",VLOOKUP(B21,顧客情報!$A$2:$C$25,2,FALSE)))</f>
        <v/>
      </c>
      <c r="D21" t="str">
        <f>IF(ISBLANK(B21),"",VLOOKUP(B21,顧客情報!$A$2:$C$25,3,FALSE))</f>
        <v/>
      </c>
      <c r="E21" t="str">
        <f>IF(ISBLANK(B21),"",VLOOKUP(B21,顧客情報!$A$2:$D$25,4,FALSE))</f>
        <v/>
      </c>
    </row>
    <row r="22" spans="3:5" x14ac:dyDescent="0.15">
      <c r="C22" t="str">
        <f>IF(ISBLANK(B22),"",IF(ISBLANK(VLOOKUP(B22,顧客情報!$A$2:$C$25,2,FALSE)),"",VLOOKUP(B22,顧客情報!$A$2:$C$25,2,FALSE)))</f>
        <v/>
      </c>
      <c r="D22" t="str">
        <f>IF(ISBLANK(B22),"",VLOOKUP(B22,顧客情報!$A$2:$C$25,3,FALSE))</f>
        <v/>
      </c>
      <c r="E22" t="str">
        <f>IF(ISBLANK(B22),"",VLOOKUP(B22,顧客情報!$A$2:$D$25,4,FALSE))</f>
        <v/>
      </c>
    </row>
    <row r="23" spans="3:5" x14ac:dyDescent="0.15">
      <c r="C23" t="str">
        <f>IF(ISBLANK(B23),"",IF(ISBLANK(VLOOKUP(B23,顧客情報!$A$2:$C$25,2,FALSE)),"",VLOOKUP(B23,顧客情報!$A$2:$C$25,2,FALSE)))</f>
        <v/>
      </c>
      <c r="D23" t="str">
        <f>IF(ISBLANK(B23),"",VLOOKUP(B23,顧客情報!$A$2:$C$25,3,FALSE))</f>
        <v/>
      </c>
      <c r="E23" t="str">
        <f>IF(ISBLANK(B23),"",VLOOKUP(B23,顧客情報!$A$2:$D$25,4,FALSE))</f>
        <v/>
      </c>
    </row>
    <row r="24" spans="3:5" x14ac:dyDescent="0.15">
      <c r="C24" t="str">
        <f>IF(ISBLANK(B24),"",IF(ISBLANK(VLOOKUP(B24,顧客情報!$A$2:$C$25,2,FALSE)),"",VLOOKUP(B24,顧客情報!$A$2:$C$25,2,FALSE)))</f>
        <v/>
      </c>
      <c r="D24" t="str">
        <f>IF(ISBLANK(B24),"",VLOOKUP(B24,顧客情報!$A$2:$C$25,3,FALSE))</f>
        <v/>
      </c>
      <c r="E24" t="str">
        <f>IF(ISBLANK(B24),"",VLOOKUP(B24,顧客情報!$A$2:$D$25,4,FALSE))</f>
        <v/>
      </c>
    </row>
    <row r="25" spans="3:5" x14ac:dyDescent="0.15">
      <c r="C25" t="str">
        <f>IF(ISBLANK(B25),"",IF(ISBLANK(VLOOKUP(B25,顧客情報!$A$2:$C$25,2,FALSE)),"",VLOOKUP(B25,顧客情報!$A$2:$C$25,2,FALSE)))</f>
        <v/>
      </c>
      <c r="D25" t="str">
        <f>IF(ISBLANK(B25),"",VLOOKUP(B25,顧客情報!$A$2:$C$25,3,FALSE))</f>
        <v/>
      </c>
      <c r="E25" t="str">
        <f>IF(ISBLANK(B25),"",VLOOKUP(B25,顧客情報!$A$2:$D$25,4,FALSE))</f>
        <v/>
      </c>
    </row>
    <row r="26" spans="3:5" x14ac:dyDescent="0.15">
      <c r="C26" t="str">
        <f>IF(ISBLANK(B26),"",IF(ISBLANK(VLOOKUP(B26,顧客情報!$A$2:$C$25,2,FALSE)),"",VLOOKUP(B26,顧客情報!$A$2:$C$25,2,FALSE)))</f>
        <v/>
      </c>
      <c r="D26" t="str">
        <f>IF(ISBLANK(B26),"",VLOOKUP(B26,顧客情報!$A$2:$C$25,3,FALSE))</f>
        <v/>
      </c>
      <c r="E26" t="str">
        <f>IF(ISBLANK(B26),"",VLOOKUP(B26,顧客情報!$A$2:$D$25,4,FALSE))</f>
        <v/>
      </c>
    </row>
  </sheetData>
  <phoneticPr fontId="4"/>
  <pageMargins left="0.7" right="0.7" top="0.75" bottom="0.75" header="0.3" footer="0.3"/>
  <pageSetup paperSize="9" orientation="portrait" horizontalDpi="4294967292"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E090F-98C8-49EB-9021-701D3C28801D}">
  <sheetPr codeName="Sheet23"/>
  <dimension ref="A1:C1"/>
  <sheetViews>
    <sheetView workbookViewId="0"/>
  </sheetViews>
  <sheetFormatPr defaultRowHeight="13.5" x14ac:dyDescent="0.15"/>
  <cols>
    <col min="1" max="1" width="11" bestFit="1" customWidth="1"/>
    <col min="3" max="3" width="46.125" customWidth="1"/>
  </cols>
  <sheetData>
    <row r="1" spans="1:3" x14ac:dyDescent="0.15">
      <c r="A1" s="111" t="s">
        <v>76</v>
      </c>
      <c r="B1" s="113" t="s">
        <v>18</v>
      </c>
      <c r="C1" s="113" t="s">
        <v>94</v>
      </c>
    </row>
  </sheetData>
  <phoneticPr fontId="4"/>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A189A-2ABD-4899-8D61-EED8FE1EFB89}">
  <sheetPr codeName="Sheet3"/>
  <dimension ref="A1:J4"/>
  <sheetViews>
    <sheetView workbookViewId="0">
      <selection activeCell="E15" sqref="E15"/>
    </sheetView>
  </sheetViews>
  <sheetFormatPr defaultRowHeight="13.5" x14ac:dyDescent="0.15"/>
  <cols>
    <col min="2" max="2" width="19.25" bestFit="1" customWidth="1"/>
    <col min="6" max="6" width="25.5" bestFit="1" customWidth="1"/>
    <col min="7" max="7" width="16.375" bestFit="1" customWidth="1"/>
    <col min="8" max="8" width="13.875" bestFit="1" customWidth="1"/>
    <col min="9" max="9" width="13.875" customWidth="1"/>
  </cols>
  <sheetData>
    <row r="1" spans="1:10" x14ac:dyDescent="0.15">
      <c r="A1" s="111" t="s">
        <v>80</v>
      </c>
      <c r="B1" s="111" t="s">
        <v>60</v>
      </c>
      <c r="C1" s="111" t="s">
        <v>61</v>
      </c>
      <c r="D1" s="111" t="s">
        <v>79</v>
      </c>
      <c r="E1" s="111" t="s">
        <v>56</v>
      </c>
      <c r="F1" s="111" t="s">
        <v>57</v>
      </c>
      <c r="G1" s="111" t="s">
        <v>59</v>
      </c>
      <c r="H1" s="111" t="s">
        <v>63</v>
      </c>
      <c r="I1" s="111" t="s">
        <v>81</v>
      </c>
      <c r="J1" s="111" t="s">
        <v>65</v>
      </c>
    </row>
    <row r="2" spans="1:10" x14ac:dyDescent="0.15">
      <c r="A2">
        <v>1</v>
      </c>
      <c r="B2" t="s">
        <v>82</v>
      </c>
      <c r="C2" t="s">
        <v>83</v>
      </c>
      <c r="D2" t="s">
        <v>84</v>
      </c>
      <c r="F2" t="s">
        <v>85</v>
      </c>
      <c r="G2" t="s">
        <v>86</v>
      </c>
      <c r="H2" t="s">
        <v>87</v>
      </c>
      <c r="I2" t="s">
        <v>88</v>
      </c>
    </row>
    <row r="3" spans="1:10" x14ac:dyDescent="0.15">
      <c r="A3">
        <v>2</v>
      </c>
      <c r="C3" t="s">
        <v>89</v>
      </c>
      <c r="D3" t="s">
        <v>84</v>
      </c>
      <c r="F3" t="s">
        <v>85</v>
      </c>
      <c r="G3" t="s">
        <v>86</v>
      </c>
      <c r="H3" t="s">
        <v>87</v>
      </c>
      <c r="I3" t="s">
        <v>88</v>
      </c>
    </row>
    <row r="4" spans="1:10" x14ac:dyDescent="0.15">
      <c r="A4">
        <v>3</v>
      </c>
      <c r="C4" t="s">
        <v>90</v>
      </c>
      <c r="D4" t="s">
        <v>84</v>
      </c>
      <c r="F4" t="s">
        <v>91</v>
      </c>
      <c r="H4" t="s">
        <v>92</v>
      </c>
    </row>
  </sheetData>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EEB24-D04A-4AA0-96DB-0F2ECB5D4533}">
  <sheetPr codeName="Sheet4"/>
  <dimension ref="A1:E9"/>
  <sheetViews>
    <sheetView workbookViewId="0">
      <selection activeCell="D9" sqref="D9"/>
    </sheetView>
  </sheetViews>
  <sheetFormatPr defaultRowHeight="13.5" x14ac:dyDescent="0.15"/>
  <cols>
    <col min="2" max="2" width="17.75" bestFit="1" customWidth="1"/>
    <col min="3" max="3" width="34.375" bestFit="1" customWidth="1"/>
    <col min="4" max="4" width="5.25" bestFit="1" customWidth="1"/>
    <col min="5" max="5" width="6.5" bestFit="1" customWidth="1"/>
  </cols>
  <sheetData>
    <row r="1" spans="1:5" x14ac:dyDescent="0.15">
      <c r="A1" s="113" t="s">
        <v>18</v>
      </c>
      <c r="B1" s="113" t="s">
        <v>93</v>
      </c>
      <c r="C1" s="113" t="s">
        <v>94</v>
      </c>
      <c r="D1" s="113" t="s">
        <v>11</v>
      </c>
      <c r="E1" s="113" t="s">
        <v>2</v>
      </c>
    </row>
    <row r="2" spans="1:5" x14ac:dyDescent="0.15">
      <c r="A2" t="s">
        <v>27</v>
      </c>
      <c r="B2" t="s">
        <v>95</v>
      </c>
      <c r="C2" t="s">
        <v>96</v>
      </c>
      <c r="D2" t="s">
        <v>97</v>
      </c>
      <c r="E2">
        <v>5000</v>
      </c>
    </row>
    <row r="3" spans="1:5" x14ac:dyDescent="0.15">
      <c r="A3" t="s">
        <v>20</v>
      </c>
      <c r="B3" t="s">
        <v>109</v>
      </c>
      <c r="D3" t="s">
        <v>99</v>
      </c>
      <c r="E3">
        <v>1000</v>
      </c>
    </row>
    <row r="4" spans="1:5" x14ac:dyDescent="0.15">
      <c r="A4" t="s">
        <v>29</v>
      </c>
      <c r="B4" t="s">
        <v>98</v>
      </c>
      <c r="C4" t="s">
        <v>100</v>
      </c>
      <c r="D4" t="s">
        <v>101</v>
      </c>
      <c r="E4">
        <v>2000</v>
      </c>
    </row>
    <row r="5" spans="1:5" x14ac:dyDescent="0.15">
      <c r="A5" t="s">
        <v>102</v>
      </c>
      <c r="B5" t="s">
        <v>95</v>
      </c>
      <c r="C5" t="s">
        <v>103</v>
      </c>
      <c r="D5" t="s">
        <v>42</v>
      </c>
      <c r="E5">
        <v>15000</v>
      </c>
    </row>
    <row r="6" spans="1:5" x14ac:dyDescent="0.15">
      <c r="A6" t="s">
        <v>19</v>
      </c>
      <c r="B6" t="s">
        <v>104</v>
      </c>
      <c r="C6" t="s">
        <v>103</v>
      </c>
      <c r="D6" t="s">
        <v>42</v>
      </c>
      <c r="E6">
        <v>15000</v>
      </c>
    </row>
    <row r="7" spans="1:5" x14ac:dyDescent="0.15">
      <c r="A7" t="s">
        <v>28</v>
      </c>
      <c r="B7" t="s">
        <v>105</v>
      </c>
      <c r="C7" t="s">
        <v>106</v>
      </c>
      <c r="D7" t="s">
        <v>107</v>
      </c>
      <c r="E7">
        <v>20000</v>
      </c>
    </row>
    <row r="8" spans="1:5" x14ac:dyDescent="0.15">
      <c r="A8" t="s">
        <v>119</v>
      </c>
      <c r="B8" t="s">
        <v>120</v>
      </c>
      <c r="D8" t="s">
        <v>101</v>
      </c>
      <c r="E8">
        <v>2000</v>
      </c>
    </row>
    <row r="9" spans="1:5" x14ac:dyDescent="0.15">
      <c r="A9" t="s">
        <v>139</v>
      </c>
      <c r="B9" t="s">
        <v>140</v>
      </c>
      <c r="D9" t="s">
        <v>101</v>
      </c>
      <c r="E9">
        <v>2000</v>
      </c>
    </row>
  </sheetData>
  <phoneticPr fontId="4"/>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8A576-14AA-420E-B581-FAC72E6B4BD9}">
  <sheetPr codeName="Sheet5"/>
  <dimension ref="B2:C18"/>
  <sheetViews>
    <sheetView workbookViewId="0">
      <selection activeCell="C2" sqref="C2"/>
    </sheetView>
  </sheetViews>
  <sheetFormatPr defaultRowHeight="18.75" customHeight="1" x14ac:dyDescent="0.15"/>
  <cols>
    <col min="2" max="2" width="11" bestFit="1" customWidth="1"/>
    <col min="3" max="3" width="26.5" bestFit="1" customWidth="1"/>
  </cols>
  <sheetData>
    <row r="2" spans="2:3" ht="18.75" customHeight="1" x14ac:dyDescent="0.15">
      <c r="B2" s="111" t="s">
        <v>6</v>
      </c>
      <c r="C2" s="134">
        <v>0.1</v>
      </c>
    </row>
    <row r="4" spans="2:3" ht="18.75" customHeight="1" x14ac:dyDescent="0.15">
      <c r="B4" t="s">
        <v>55</v>
      </c>
    </row>
    <row r="6" spans="2:3" ht="18.75" customHeight="1" x14ac:dyDescent="0.15">
      <c r="B6" s="111" t="s">
        <v>56</v>
      </c>
      <c r="C6" s="111">
        <v>6390223</v>
      </c>
    </row>
    <row r="7" spans="2:3" ht="18.75" customHeight="1" x14ac:dyDescent="0.15">
      <c r="B7" s="111" t="s">
        <v>57</v>
      </c>
      <c r="C7" s="111" t="s">
        <v>58</v>
      </c>
    </row>
    <row r="8" spans="2:3" ht="18.75" customHeight="1" x14ac:dyDescent="0.15">
      <c r="B8" s="111" t="s">
        <v>59</v>
      </c>
      <c r="C8" s="111"/>
    </row>
    <row r="9" spans="2:3" ht="18.75" customHeight="1" x14ac:dyDescent="0.15">
      <c r="B9" s="111" t="s">
        <v>60</v>
      </c>
      <c r="C9" s="111"/>
    </row>
    <row r="10" spans="2:3" ht="18.75" customHeight="1" x14ac:dyDescent="0.15">
      <c r="B10" s="111" t="s">
        <v>61</v>
      </c>
      <c r="C10" s="111" t="s">
        <v>62</v>
      </c>
    </row>
    <row r="11" spans="2:3" ht="18.75" customHeight="1" x14ac:dyDescent="0.15">
      <c r="B11" s="111" t="s">
        <v>63</v>
      </c>
      <c r="C11" s="111" t="s">
        <v>64</v>
      </c>
    </row>
    <row r="12" spans="2:3" ht="18.75" customHeight="1" x14ac:dyDescent="0.15">
      <c r="B12" s="111" t="s">
        <v>65</v>
      </c>
      <c r="C12" s="112" t="s">
        <v>66</v>
      </c>
    </row>
    <row r="14" spans="2:3" ht="18.75" customHeight="1" x14ac:dyDescent="0.15">
      <c r="B14" t="s">
        <v>67</v>
      </c>
    </row>
    <row r="15" spans="2:3" ht="18.75" customHeight="1" x14ac:dyDescent="0.15">
      <c r="B15" t="s">
        <v>68</v>
      </c>
      <c r="C15" t="s">
        <v>69</v>
      </c>
    </row>
    <row r="16" spans="2:3" ht="18.75" customHeight="1" x14ac:dyDescent="0.15">
      <c r="B16" t="s">
        <v>70</v>
      </c>
      <c r="C16" t="s">
        <v>71</v>
      </c>
    </row>
    <row r="17" spans="2:3" ht="18.75" customHeight="1" x14ac:dyDescent="0.15">
      <c r="B17" t="s">
        <v>72</v>
      </c>
      <c r="C17" t="s">
        <v>73</v>
      </c>
    </row>
    <row r="18" spans="2:3" ht="18.75" customHeight="1" x14ac:dyDescent="0.15">
      <c r="B18" t="s">
        <v>74</v>
      </c>
      <c r="C18" t="s">
        <v>75</v>
      </c>
    </row>
  </sheetData>
  <phoneticPr fontId="4"/>
  <hyperlinks>
    <hyperlink ref="C12" r:id="rId1" xr:uid="{D2845027-7BC2-4A01-9CA5-ABFC2EF98E38}"/>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2:I53"/>
  <sheetViews>
    <sheetView showGridLines="0" view="pageBreakPreview" zoomScale="80" zoomScaleNormal="100" zoomScaleSheetLayoutView="80" workbookViewId="0">
      <selection activeCell="C13" sqref="C13:D13"/>
    </sheetView>
  </sheetViews>
  <sheetFormatPr defaultColWidth="3.125" defaultRowHeight="13.5" customHeight="1" x14ac:dyDescent="0.15"/>
  <cols>
    <col min="1" max="1" width="7.625" style="1" customWidth="1"/>
    <col min="2" max="2" width="13.875" style="1" customWidth="1"/>
    <col min="3" max="3" width="9.375" style="1" customWidth="1"/>
    <col min="4" max="4" width="19.5" style="1" customWidth="1"/>
    <col min="5" max="5" width="16.75" style="1" customWidth="1"/>
    <col min="6" max="6" width="11.125" style="1" customWidth="1"/>
    <col min="7" max="7" width="6.625" style="1" customWidth="1"/>
    <col min="8" max="8" width="6.125" style="1" customWidth="1"/>
    <col min="9" max="9" width="12.25" style="1" customWidth="1"/>
    <col min="10" max="16384" width="3.125" style="1"/>
  </cols>
  <sheetData>
    <row r="2" spans="2:9" ht="13.5" customHeight="1" x14ac:dyDescent="0.15">
      <c r="B2" s="158"/>
      <c r="C2" s="158"/>
      <c r="D2" s="158"/>
      <c r="E2" s="158"/>
      <c r="F2" s="158"/>
      <c r="G2" s="158"/>
      <c r="H2" s="158"/>
      <c r="I2" s="158"/>
    </row>
    <row r="3" spans="2:9" s="2" customFormat="1" ht="36.75" customHeight="1" x14ac:dyDescent="0.55000000000000004">
      <c r="B3" s="192" t="s">
        <v>22</v>
      </c>
      <c r="C3" s="192"/>
      <c r="D3" s="192"/>
      <c r="E3" s="192"/>
      <c r="F3" s="192"/>
      <c r="G3" s="192"/>
      <c r="H3" s="192"/>
      <c r="I3" s="192"/>
    </row>
    <row r="4" spans="2:9" ht="15" customHeight="1" x14ac:dyDescent="0.15">
      <c r="F4" s="193"/>
      <c r="G4" s="193"/>
      <c r="H4" s="193"/>
      <c r="I4" s="193"/>
    </row>
    <row r="5" spans="2:9" ht="13.5" customHeight="1" x14ac:dyDescent="0.15">
      <c r="B5" s="194" t="str">
        <f>VLOOKUP(F5,請求書履歴!$A$2:$E$40,3,FALSE)</f>
        <v>女性共同法律事務所</v>
      </c>
      <c r="C5" s="194"/>
      <c r="D5" s="194"/>
      <c r="E5" s="56"/>
      <c r="F5" s="195">
        <v>20180001</v>
      </c>
      <c r="G5" s="195"/>
      <c r="H5" s="195"/>
      <c r="I5" s="195"/>
    </row>
    <row r="6" spans="2:9" ht="13.5" customHeight="1" x14ac:dyDescent="0.15">
      <c r="B6" s="194"/>
      <c r="C6" s="194"/>
      <c r="D6" s="194"/>
      <c r="F6" s="196">
        <v>43159</v>
      </c>
      <c r="G6" s="196"/>
      <c r="H6" s="196"/>
      <c r="I6" s="196"/>
    </row>
    <row r="7" spans="2:9" ht="13.5" customHeight="1" x14ac:dyDescent="0.15">
      <c r="B7" s="186" t="str">
        <f>VLOOKUP(F5,請求書履歴!$A$2:$E$40,4,FALSE)&amp; " " &amp; VLOOKUP(F5,請求書履歴!$A$2:$E$40,5,FALSE)</f>
        <v>宮地 様</v>
      </c>
      <c r="C7" s="186"/>
      <c r="D7" s="186"/>
      <c r="F7" s="187"/>
      <c r="G7" s="187"/>
      <c r="H7" s="187"/>
      <c r="I7" s="187"/>
    </row>
    <row r="8" spans="2:9" ht="13.5" customHeight="1" x14ac:dyDescent="0.15">
      <c r="B8" s="186"/>
      <c r="C8" s="186"/>
      <c r="D8" s="186"/>
      <c r="E8" s="188"/>
      <c r="F8" s="177"/>
      <c r="G8" s="177"/>
      <c r="H8" s="177"/>
      <c r="I8" s="177"/>
    </row>
    <row r="9" spans="2:9" ht="13.5" customHeight="1" x14ac:dyDescent="0.15">
      <c r="B9" s="55"/>
      <c r="C9" s="55"/>
      <c r="D9" s="55"/>
      <c r="E9" s="188"/>
      <c r="F9" s="54"/>
      <c r="G9" s="54"/>
      <c r="H9" s="54"/>
      <c r="I9" s="54"/>
    </row>
    <row r="10" spans="2:9" ht="13.5" customHeight="1" x14ac:dyDescent="0.15">
      <c r="B10" s="189"/>
      <c r="C10" s="189"/>
      <c r="D10" s="189"/>
      <c r="E10" s="188"/>
      <c r="F10" s="53"/>
      <c r="G10" s="53"/>
      <c r="H10" s="53"/>
      <c r="I10" s="53"/>
    </row>
    <row r="11" spans="2:9" ht="13.5" customHeight="1" x14ac:dyDescent="0.15">
      <c r="B11" s="28" t="s">
        <v>23</v>
      </c>
      <c r="C11" s="17"/>
      <c r="D11" s="57"/>
      <c r="E11" s="4"/>
      <c r="F11" s="29"/>
      <c r="G11" s="53"/>
      <c r="H11" s="53"/>
      <c r="I11" s="30"/>
    </row>
    <row r="12" spans="2:9" ht="13.5" customHeight="1" x14ac:dyDescent="0.15">
      <c r="B12" s="52"/>
      <c r="C12" s="52"/>
      <c r="D12" s="52"/>
      <c r="E12" s="4"/>
      <c r="F12" s="31"/>
      <c r="G12" s="31"/>
      <c r="H12" s="31"/>
      <c r="I12" s="31"/>
    </row>
    <row r="13" spans="2:9" ht="21" customHeight="1" x14ac:dyDescent="0.4">
      <c r="B13" s="43" t="s">
        <v>12</v>
      </c>
      <c r="C13" s="190" t="s">
        <v>24</v>
      </c>
      <c r="D13" s="190"/>
      <c r="E13" s="4"/>
      <c r="F13" s="191">
        <f>各種設定!C6</f>
        <v>6390223</v>
      </c>
      <c r="G13" s="191"/>
      <c r="H13" s="191"/>
      <c r="I13" s="191"/>
    </row>
    <row r="14" spans="2:9" ht="21" customHeight="1" x14ac:dyDescent="0.4">
      <c r="B14" s="43" t="s">
        <v>25</v>
      </c>
      <c r="C14" s="176">
        <f>EDATE(F6,1)</f>
        <v>43187</v>
      </c>
      <c r="D14" s="176"/>
      <c r="E14" s="4"/>
      <c r="F14" s="177" t="str">
        <f>各種設定!C7</f>
        <v>奈良県香芝市真美ヶ丘7-1-2</v>
      </c>
      <c r="G14" s="177"/>
      <c r="H14" s="177"/>
      <c r="I14" s="177"/>
    </row>
    <row r="15" spans="2:9" ht="19.5" customHeight="1" x14ac:dyDescent="0.4">
      <c r="B15" s="178" t="s">
        <v>13</v>
      </c>
      <c r="C15" s="181" t="str">
        <f>各種設定!C15&amp;" 　"&amp;各種設定!C16</f>
        <v>りそな 銀行 　香芝 支店</v>
      </c>
      <c r="D15" s="181"/>
      <c r="E15" s="56"/>
      <c r="F15" s="182" t="str">
        <f>各種設定!C10</f>
        <v>松田　ひとみ</v>
      </c>
      <c r="G15" s="182"/>
      <c r="H15" s="182"/>
      <c r="I15" s="182"/>
    </row>
    <row r="16" spans="2:9" ht="16.5" x14ac:dyDescent="0.4">
      <c r="B16" s="179"/>
      <c r="C16" s="183" t="str">
        <f>各種設定!C17</f>
        <v>普通　6275173</v>
      </c>
      <c r="D16" s="183"/>
      <c r="F16" s="182"/>
      <c r="G16" s="182"/>
      <c r="H16" s="182"/>
      <c r="I16" s="182"/>
    </row>
    <row r="17" spans="1:9" ht="16.5" customHeight="1" x14ac:dyDescent="0.4">
      <c r="B17" s="180"/>
      <c r="C17" s="184" t="str">
        <f>各種設定!C18</f>
        <v>マツダ　ヒトミ</v>
      </c>
      <c r="D17" s="184"/>
      <c r="E17" s="56"/>
      <c r="F17" s="185" t="str">
        <f>各種設定!C11</f>
        <v>090-8657-6721</v>
      </c>
      <c r="G17" s="185"/>
      <c r="H17" s="185"/>
      <c r="I17" s="185"/>
    </row>
    <row r="18" spans="1:9" ht="14.25" x14ac:dyDescent="0.15">
      <c r="B18" s="169" t="s">
        <v>14</v>
      </c>
      <c r="C18" s="171" t="e">
        <f>I43</f>
        <v>#REF!</v>
      </c>
      <c r="D18" s="171"/>
      <c r="E18" s="56"/>
      <c r="F18" s="172" t="str">
        <f>各種設定!C12</f>
        <v>hitomi@1103slabo.com</v>
      </c>
      <c r="G18" s="172"/>
      <c r="H18" s="172"/>
      <c r="I18" s="172"/>
    </row>
    <row r="19" spans="1:9" ht="34.5" customHeight="1" x14ac:dyDescent="0.15">
      <c r="B19" s="170"/>
      <c r="C19" s="171"/>
      <c r="D19" s="171"/>
      <c r="E19" s="56"/>
      <c r="F19" s="56"/>
      <c r="G19" s="56"/>
      <c r="H19" s="56"/>
      <c r="I19" s="56"/>
    </row>
    <row r="20" spans="1:9" ht="12.75" customHeight="1" x14ac:dyDescent="0.15">
      <c r="B20" s="17"/>
      <c r="C20" s="17"/>
      <c r="D20" s="17"/>
      <c r="E20" s="56"/>
      <c r="F20" s="56"/>
      <c r="G20" s="56"/>
      <c r="H20" s="56"/>
      <c r="I20" s="56"/>
    </row>
    <row r="21" spans="1:9" ht="13.5" customHeight="1" x14ac:dyDescent="0.15">
      <c r="B21" s="25" t="s">
        <v>0</v>
      </c>
      <c r="C21" s="25"/>
      <c r="D21" s="25"/>
      <c r="E21" s="25"/>
      <c r="F21" s="25"/>
      <c r="G21" s="25"/>
      <c r="H21" s="25"/>
      <c r="I21" s="25"/>
    </row>
    <row r="22" spans="1:9" ht="13.5" customHeight="1" x14ac:dyDescent="0.15">
      <c r="B22" s="25" t="s">
        <v>15</v>
      </c>
      <c r="C22" s="25"/>
      <c r="D22" s="25"/>
      <c r="E22" s="25"/>
      <c r="F22" s="25"/>
      <c r="G22" s="25"/>
      <c r="H22" s="25"/>
      <c r="I22" s="25"/>
    </row>
    <row r="23" spans="1:9" ht="13.5" customHeight="1" x14ac:dyDescent="0.15">
      <c r="B23" s="25"/>
      <c r="C23" s="25"/>
      <c r="D23" s="25"/>
      <c r="E23" s="25"/>
      <c r="F23" s="25"/>
      <c r="G23" s="25"/>
      <c r="H23" s="25"/>
      <c r="I23" s="25"/>
    </row>
    <row r="24" spans="1:9" ht="13.5" customHeight="1" x14ac:dyDescent="0.15">
      <c r="B24" s="25"/>
      <c r="C24" s="25"/>
      <c r="D24" s="25"/>
      <c r="E24" s="25"/>
      <c r="F24" s="25"/>
      <c r="G24" s="25"/>
      <c r="H24" s="25"/>
      <c r="I24" s="25"/>
    </row>
    <row r="25" spans="1:9" ht="13.5" customHeight="1" x14ac:dyDescent="0.15">
      <c r="B25" s="19" t="s">
        <v>1</v>
      </c>
      <c r="C25" s="18"/>
      <c r="D25" s="18"/>
      <c r="E25" s="18"/>
      <c r="F25" s="18"/>
      <c r="G25" s="18"/>
      <c r="H25" s="18"/>
      <c r="I25" s="18"/>
    </row>
    <row r="26" spans="1:9" s="44" customFormat="1" ht="20.25" customHeight="1" x14ac:dyDescent="0.15">
      <c r="A26" s="44" t="s">
        <v>18</v>
      </c>
      <c r="B26" s="173" t="s">
        <v>26</v>
      </c>
      <c r="C26" s="173"/>
      <c r="D26" s="173"/>
      <c r="E26" s="173"/>
      <c r="F26" s="45" t="s">
        <v>2</v>
      </c>
      <c r="G26" s="45" t="s">
        <v>3</v>
      </c>
      <c r="H26" s="46" t="s">
        <v>11</v>
      </c>
      <c r="I26" s="46" t="s">
        <v>4</v>
      </c>
    </row>
    <row r="27" spans="1:9" ht="20.25" customHeight="1" x14ac:dyDescent="0.15">
      <c r="A27" s="1" t="s">
        <v>27</v>
      </c>
      <c r="B27" s="174" t="str">
        <f>IF(ISBLANK($A27),"",VLOOKUP($A27,商品マスタ!$A$2:$E$7,2,FALSE))</f>
        <v>PCコンサルティング</v>
      </c>
      <c r="C27" s="175"/>
      <c r="D27" s="161" t="e">
        <f>IF(ISBLANK($A27),"",VLOOKUP($A27,#REF!,3,FALSE))</f>
        <v>#REF!</v>
      </c>
      <c r="E27" s="162"/>
      <c r="F27" s="11" t="e">
        <f>IF(ISBLANK($A27),"",VLOOKUP($A27,#REF!,5,FALSE))</f>
        <v>#REF!</v>
      </c>
      <c r="G27" s="49">
        <v>1</v>
      </c>
      <c r="H27" s="47" t="str">
        <f t="shared" ref="H27:H40" si="0">IF(ISBLANK($A27),"",VLOOKUP($A27,商品マスタ,4,FALSE))</f>
        <v>月</v>
      </c>
      <c r="I27" s="13" t="e">
        <f>IF(G27="","",F27*G27)</f>
        <v>#REF!</v>
      </c>
    </row>
    <row r="28" spans="1:9" ht="20.25" customHeight="1" x14ac:dyDescent="0.15">
      <c r="A28" s="1" t="s">
        <v>19</v>
      </c>
      <c r="B28" s="167" t="str">
        <f>IF(ISBLANK($A28),"",VLOOKUP($A28,商品マスタ!$A$2:$E$7,2,FALSE))</f>
        <v>PC鑑定</v>
      </c>
      <c r="C28" s="168"/>
      <c r="D28" s="161" t="e">
        <f>IF(ISBLANK($A28),"",VLOOKUP($A28,#REF!,3,FALSE))</f>
        <v>#REF!</v>
      </c>
      <c r="E28" s="162"/>
      <c r="F28" s="11" t="e">
        <f>IF(ISBLANK($A28),"",VLOOKUP($A28,#REF!,5,FALSE))</f>
        <v>#REF!</v>
      </c>
      <c r="G28" s="49">
        <v>1</v>
      </c>
      <c r="H28" s="47" t="str">
        <f t="shared" si="0"/>
        <v>日</v>
      </c>
      <c r="I28" s="13" t="e">
        <f t="shared" ref="I28:I40" si="1">IF(G28="","",F28*G28)</f>
        <v>#REF!</v>
      </c>
    </row>
    <row r="29" spans="1:9" ht="20.25" customHeight="1" x14ac:dyDescent="0.15">
      <c r="A29" s="1" t="s">
        <v>28</v>
      </c>
      <c r="B29" s="167" t="str">
        <f>IF(ISBLANK($A29),"",VLOOKUP($A29,商品マスタ!$A$2:$E$7,2,FALSE))</f>
        <v>報告書作成</v>
      </c>
      <c r="C29" s="168"/>
      <c r="D29" s="161" t="e">
        <f>IF(ISBLANK($A29),"",VLOOKUP($A29,#REF!,3,FALSE))</f>
        <v>#REF!</v>
      </c>
      <c r="E29" s="162"/>
      <c r="F29" s="11" t="e">
        <f>IF(ISBLANK($A29),"",VLOOKUP($A29,#REF!,5,FALSE))</f>
        <v>#REF!</v>
      </c>
      <c r="G29" s="49">
        <v>1</v>
      </c>
      <c r="H29" s="47" t="str">
        <f t="shared" si="0"/>
        <v>式</v>
      </c>
      <c r="I29" s="13" t="e">
        <f t="shared" si="1"/>
        <v>#REF!</v>
      </c>
    </row>
    <row r="30" spans="1:9" ht="20.25" customHeight="1" x14ac:dyDescent="0.15">
      <c r="B30" s="159" t="str">
        <f>IF(ISBLANK($A30),"",VLOOKUP($A30,#REF!,2,FALSE))</f>
        <v/>
      </c>
      <c r="C30" s="160"/>
      <c r="D30" s="161" t="str">
        <f>IF(ISBLANK($A30),"",VLOOKUP($A30,#REF!,3,FALSE))</f>
        <v/>
      </c>
      <c r="E30" s="162"/>
      <c r="F30" s="11" t="str">
        <f>IF(ISBLANK($A30),"",VLOOKUP($A30,#REF!,5,FALSE))</f>
        <v/>
      </c>
      <c r="G30" s="12"/>
      <c r="H30" s="47" t="str">
        <f t="shared" si="0"/>
        <v/>
      </c>
      <c r="I30" s="13" t="str">
        <f t="shared" si="1"/>
        <v/>
      </c>
    </row>
    <row r="31" spans="1:9" ht="20.25" customHeight="1" x14ac:dyDescent="0.15">
      <c r="B31" s="159" t="str">
        <f>IF(ISBLANK($A31),"",VLOOKUP($A31,#REF!,2,FALSE))</f>
        <v/>
      </c>
      <c r="C31" s="160"/>
      <c r="D31" s="161" t="str">
        <f>IF(ISBLANK($A31),"",VLOOKUP($A31,#REF!,3,FALSE))</f>
        <v/>
      </c>
      <c r="E31" s="162"/>
      <c r="F31" s="11" t="str">
        <f>IF(ISBLANK($A31),"",VLOOKUP($A31,#REF!,5,FALSE))</f>
        <v/>
      </c>
      <c r="G31" s="12"/>
      <c r="H31" s="47" t="str">
        <f t="shared" si="0"/>
        <v/>
      </c>
      <c r="I31" s="13" t="str">
        <f t="shared" si="1"/>
        <v/>
      </c>
    </row>
    <row r="32" spans="1:9" ht="20.25" customHeight="1" x14ac:dyDescent="0.15">
      <c r="B32" s="159" t="str">
        <f>IF(ISBLANK($A32),"",VLOOKUP($A32,#REF!,2,FALSE))</f>
        <v/>
      </c>
      <c r="C32" s="160"/>
      <c r="D32" s="161" t="str">
        <f>IF(ISBLANK($A32),"",VLOOKUP($A32,#REF!,3,FALSE))</f>
        <v/>
      </c>
      <c r="E32" s="162"/>
      <c r="F32" s="11" t="str">
        <f>IF(ISBLANK($A32),"",VLOOKUP($A32,#REF!,5,FALSE))</f>
        <v/>
      </c>
      <c r="G32" s="12"/>
      <c r="H32" s="47" t="str">
        <f t="shared" si="0"/>
        <v/>
      </c>
      <c r="I32" s="13" t="str">
        <f t="shared" si="1"/>
        <v/>
      </c>
    </row>
    <row r="33" spans="2:9" ht="20.25" customHeight="1" x14ac:dyDescent="0.15">
      <c r="B33" s="159" t="str">
        <f>IF(ISBLANK($A33),"",VLOOKUP($A33,#REF!,2,FALSE))</f>
        <v/>
      </c>
      <c r="C33" s="160"/>
      <c r="D33" s="161" t="str">
        <f>IF(ISBLANK($A33),"",VLOOKUP($A33,#REF!,3,FALSE))</f>
        <v/>
      </c>
      <c r="E33" s="162"/>
      <c r="F33" s="11" t="str">
        <f>IF(ISBLANK($A33),"",VLOOKUP($A33,#REF!,5,FALSE))</f>
        <v/>
      </c>
      <c r="G33" s="12"/>
      <c r="H33" s="47" t="str">
        <f t="shared" si="0"/>
        <v/>
      </c>
      <c r="I33" s="13" t="str">
        <f t="shared" si="1"/>
        <v/>
      </c>
    </row>
    <row r="34" spans="2:9" ht="20.25" customHeight="1" x14ac:dyDescent="0.15">
      <c r="B34" s="159" t="str">
        <f>IF(ISBLANK($A34),"",VLOOKUP($A34,#REF!,2,FALSE))</f>
        <v/>
      </c>
      <c r="C34" s="160"/>
      <c r="D34" s="161" t="str">
        <f>IF(ISBLANK($A34),"",VLOOKUP($A34,#REF!,3,FALSE))</f>
        <v/>
      </c>
      <c r="E34" s="162"/>
      <c r="F34" s="11" t="str">
        <f>IF(ISBLANK($A34),"",VLOOKUP($A34,#REF!,5,FALSE))</f>
        <v/>
      </c>
      <c r="G34" s="12"/>
      <c r="H34" s="47" t="str">
        <f t="shared" si="0"/>
        <v/>
      </c>
      <c r="I34" s="13" t="str">
        <f t="shared" si="1"/>
        <v/>
      </c>
    </row>
    <row r="35" spans="2:9" ht="20.25" customHeight="1" x14ac:dyDescent="0.15">
      <c r="B35" s="163" t="str">
        <f>IF(ISBLANK($A35),"",VLOOKUP($A35,#REF!,2,FALSE))</f>
        <v/>
      </c>
      <c r="C35" s="164"/>
      <c r="D35" s="165" t="str">
        <f>IF(ISBLANK($A35),"",VLOOKUP($A35,#REF!,3,FALSE))</f>
        <v/>
      </c>
      <c r="E35" s="166"/>
      <c r="F35" s="11" t="str">
        <f>IF(ISBLANK($A35),"",VLOOKUP($A35,#REF!,5,FALSE))</f>
        <v/>
      </c>
      <c r="G35" s="12"/>
      <c r="H35" s="47" t="str">
        <f t="shared" si="0"/>
        <v/>
      </c>
      <c r="I35" s="13" t="str">
        <f t="shared" si="1"/>
        <v/>
      </c>
    </row>
    <row r="36" spans="2:9" ht="20.25" customHeight="1" x14ac:dyDescent="0.15">
      <c r="B36" s="163" t="str">
        <f>IF(ISBLANK($A36),"",VLOOKUP($A36,#REF!,2,FALSE))</f>
        <v/>
      </c>
      <c r="C36" s="164"/>
      <c r="D36" s="165" t="str">
        <f>IF(ISBLANK($A36),"",VLOOKUP($A36,#REF!,3,FALSE))</f>
        <v/>
      </c>
      <c r="E36" s="166"/>
      <c r="F36" s="11" t="str">
        <f>IF(ISBLANK($A36),"",VLOOKUP($A36,#REF!,5,FALSE))</f>
        <v/>
      </c>
      <c r="G36" s="12"/>
      <c r="H36" s="47" t="str">
        <f t="shared" si="0"/>
        <v/>
      </c>
      <c r="I36" s="13" t="str">
        <f t="shared" si="1"/>
        <v/>
      </c>
    </row>
    <row r="37" spans="2:9" ht="20.25" customHeight="1" x14ac:dyDescent="0.15">
      <c r="B37" s="159" t="str">
        <f>IF(ISBLANK($A37),"",VLOOKUP($A37,#REF!,2,FALSE))</f>
        <v/>
      </c>
      <c r="C37" s="160"/>
      <c r="D37" s="161" t="str">
        <f>IF(ISBLANK($A37),"",VLOOKUP($A37,#REF!,3,FALSE))</f>
        <v/>
      </c>
      <c r="E37" s="162"/>
      <c r="F37" s="11" t="str">
        <f>IF(ISBLANK($A37),"",VLOOKUP($A37,#REF!,5,FALSE))</f>
        <v/>
      </c>
      <c r="G37" s="12"/>
      <c r="H37" s="47" t="str">
        <f t="shared" si="0"/>
        <v/>
      </c>
      <c r="I37" s="13" t="str">
        <f t="shared" si="1"/>
        <v/>
      </c>
    </row>
    <row r="38" spans="2:9" ht="20.25" customHeight="1" x14ac:dyDescent="0.15">
      <c r="B38" s="159" t="str">
        <f>IF(ISBLANK($A38),"",VLOOKUP($A38,#REF!,2,FALSE))</f>
        <v/>
      </c>
      <c r="C38" s="160"/>
      <c r="D38" s="161" t="str">
        <f>IF(ISBLANK($A38),"",VLOOKUP($A38,#REF!,3,FALSE))</f>
        <v/>
      </c>
      <c r="E38" s="162"/>
      <c r="F38" s="11" t="str">
        <f>IF(ISBLANK($A38),"",VLOOKUP($A38,#REF!,5,FALSE))</f>
        <v/>
      </c>
      <c r="G38" s="14"/>
      <c r="H38" s="47" t="str">
        <f t="shared" si="0"/>
        <v/>
      </c>
      <c r="I38" s="13" t="str">
        <f t="shared" si="1"/>
        <v/>
      </c>
    </row>
    <row r="39" spans="2:9" ht="20.25" customHeight="1" x14ac:dyDescent="0.15">
      <c r="B39" s="159" t="str">
        <f>IF(ISBLANK($A39),"",VLOOKUP($A39,#REF!,2,FALSE))</f>
        <v/>
      </c>
      <c r="C39" s="160"/>
      <c r="D39" s="161" t="str">
        <f>IF(ISBLANK($A39),"",VLOOKUP($A39,#REF!,3,FALSE))</f>
        <v/>
      </c>
      <c r="E39" s="162"/>
      <c r="F39" s="11" t="str">
        <f>IF(ISBLANK($A39),"",VLOOKUP($A39,#REF!,5,FALSE))</f>
        <v/>
      </c>
      <c r="G39" s="14"/>
      <c r="H39" s="47" t="str">
        <f t="shared" si="0"/>
        <v/>
      </c>
      <c r="I39" s="13" t="str">
        <f t="shared" si="1"/>
        <v/>
      </c>
    </row>
    <row r="40" spans="2:9" ht="20.25" customHeight="1" x14ac:dyDescent="0.15">
      <c r="B40" s="151" t="str">
        <f>IF(ISBLANK($A40),"",VLOOKUP($A40,#REF!,2,FALSE))</f>
        <v/>
      </c>
      <c r="C40" s="152"/>
      <c r="D40" s="153" t="str">
        <f>IF(ISBLANK($A40),"",VLOOKUP($A40,#REF!,3,FALSE))</f>
        <v/>
      </c>
      <c r="E40" s="154"/>
      <c r="F40" s="15" t="str">
        <f>IF(ISBLANK($A40),"",VLOOKUP($A40,#REF!,5,FALSE))</f>
        <v/>
      </c>
      <c r="G40" s="16"/>
      <c r="H40" s="48" t="str">
        <f t="shared" si="0"/>
        <v/>
      </c>
      <c r="I40" s="58" t="str">
        <f t="shared" si="1"/>
        <v/>
      </c>
    </row>
    <row r="41" spans="2:9" ht="18.75" customHeight="1" x14ac:dyDescent="0.15">
      <c r="F41" s="155" t="s">
        <v>5</v>
      </c>
      <c r="G41" s="155"/>
      <c r="H41" s="155"/>
      <c r="I41" s="50" t="e">
        <f>SUM(I27:I40)</f>
        <v>#REF!</v>
      </c>
    </row>
    <row r="42" spans="2:9" ht="18.75" customHeight="1" x14ac:dyDescent="0.15">
      <c r="F42" s="156" t="s">
        <v>6</v>
      </c>
      <c r="G42" s="156"/>
      <c r="H42" s="156"/>
      <c r="I42" s="50" t="e">
        <f>I41*各種設定!C2</f>
        <v>#REF!</v>
      </c>
    </row>
    <row r="43" spans="2:9" ht="18.75" customHeight="1" thickBot="1" x14ac:dyDescent="0.2">
      <c r="F43" s="157" t="s">
        <v>7</v>
      </c>
      <c r="G43" s="157"/>
      <c r="H43" s="157"/>
      <c r="I43" s="51" t="e">
        <f>SUM(I41:I42)</f>
        <v>#REF!</v>
      </c>
    </row>
    <row r="44" spans="2:9" ht="13.5" customHeight="1" thickTop="1" x14ac:dyDescent="0.15"/>
    <row r="45" spans="2:9" ht="13.5" customHeight="1" x14ac:dyDescent="0.15">
      <c r="B45" s="19" t="s">
        <v>8</v>
      </c>
      <c r="C45" s="6"/>
      <c r="D45" s="6"/>
      <c r="E45" s="6"/>
      <c r="F45" s="6"/>
      <c r="G45" s="6"/>
      <c r="H45" s="6"/>
      <c r="I45" s="6"/>
    </row>
    <row r="46" spans="2:9" ht="4.5" customHeight="1" x14ac:dyDescent="0.15">
      <c r="B46" s="20"/>
      <c r="C46" s="7"/>
      <c r="D46" s="7"/>
      <c r="E46" s="7"/>
      <c r="F46" s="7"/>
    </row>
    <row r="47" spans="2:9" ht="13.5" customHeight="1" x14ac:dyDescent="0.15">
      <c r="B47" s="17"/>
    </row>
    <row r="48" spans="2:9" ht="13.5" customHeight="1" x14ac:dyDescent="0.15">
      <c r="B48" s="17"/>
    </row>
    <row r="49" spans="2:9" ht="13.5" customHeight="1" x14ac:dyDescent="0.15">
      <c r="B49" s="17"/>
    </row>
    <row r="50" spans="2:9" ht="13.5" customHeight="1" x14ac:dyDescent="0.15">
      <c r="B50" s="17"/>
    </row>
    <row r="51" spans="2:9" ht="13.5" customHeight="1" x14ac:dyDescent="0.15">
      <c r="B51" s="17"/>
    </row>
    <row r="52" spans="2:9" ht="13.5" customHeight="1" x14ac:dyDescent="0.15">
      <c r="B52" s="17"/>
    </row>
    <row r="53" spans="2:9" ht="13.5" customHeight="1" x14ac:dyDescent="0.15">
      <c r="B53" s="158"/>
      <c r="C53" s="158"/>
      <c r="D53" s="158"/>
      <c r="E53" s="158"/>
      <c r="F53" s="158"/>
      <c r="G53" s="158"/>
      <c r="H53" s="158"/>
      <c r="I53" s="158"/>
    </row>
  </sheetData>
  <mergeCells count="57">
    <mergeCell ref="C13:D13"/>
    <mergeCell ref="F13:I13"/>
    <mergeCell ref="B2:I2"/>
    <mergeCell ref="B3:I3"/>
    <mergeCell ref="F4:I4"/>
    <mergeCell ref="B5:D6"/>
    <mergeCell ref="F5:I5"/>
    <mergeCell ref="F6:I6"/>
    <mergeCell ref="B7:D8"/>
    <mergeCell ref="F7:I7"/>
    <mergeCell ref="E8:E10"/>
    <mergeCell ref="F8:I8"/>
    <mergeCell ref="B10:D10"/>
    <mergeCell ref="C14:D14"/>
    <mergeCell ref="F14:I14"/>
    <mergeCell ref="B15:B17"/>
    <mergeCell ref="C15:D15"/>
    <mergeCell ref="C16:D16"/>
    <mergeCell ref="C17:D17"/>
    <mergeCell ref="F17:I17"/>
    <mergeCell ref="F15:I16"/>
    <mergeCell ref="B18:B19"/>
    <mergeCell ref="C18:D19"/>
    <mergeCell ref="F18:I18"/>
    <mergeCell ref="B26:E26"/>
    <mergeCell ref="B27:C27"/>
    <mergeCell ref="D27:E27"/>
    <mergeCell ref="B28:C28"/>
    <mergeCell ref="D28:E28"/>
    <mergeCell ref="B29:C29"/>
    <mergeCell ref="D29:E29"/>
    <mergeCell ref="B30:C30"/>
    <mergeCell ref="D30:E30"/>
    <mergeCell ref="B31:C31"/>
    <mergeCell ref="D31:E31"/>
    <mergeCell ref="B32:C32"/>
    <mergeCell ref="D32:E32"/>
    <mergeCell ref="B33:C33"/>
    <mergeCell ref="D33:E33"/>
    <mergeCell ref="B34:C34"/>
    <mergeCell ref="D34:E34"/>
    <mergeCell ref="B35:C35"/>
    <mergeCell ref="D35:E35"/>
    <mergeCell ref="B36:C36"/>
    <mergeCell ref="D36:E36"/>
    <mergeCell ref="B53:I53"/>
    <mergeCell ref="B37:C37"/>
    <mergeCell ref="D37:E37"/>
    <mergeCell ref="B38:C38"/>
    <mergeCell ref="D38:E38"/>
    <mergeCell ref="B39:C39"/>
    <mergeCell ref="D39:E39"/>
    <mergeCell ref="B40:C40"/>
    <mergeCell ref="D40:E40"/>
    <mergeCell ref="F41:H41"/>
    <mergeCell ref="F42:H42"/>
    <mergeCell ref="F43:H43"/>
  </mergeCells>
  <phoneticPr fontId="4"/>
  <conditionalFormatting sqref="D27 D29:D40 B29:B40 F28:I40 F27:G27">
    <cfRule type="expression" dxfId="58" priority="4">
      <formula>MOD(ROW(),2)=1</formula>
    </cfRule>
  </conditionalFormatting>
  <conditionalFormatting sqref="B28 D28">
    <cfRule type="expression" dxfId="57" priority="3">
      <formula>MOD(ROW(),2)=1</formula>
    </cfRule>
  </conditionalFormatting>
  <conditionalFormatting sqref="H27:I27">
    <cfRule type="expression" dxfId="56" priority="2">
      <formula>MOD(ROW(),2)=1</formula>
    </cfRule>
  </conditionalFormatting>
  <conditionalFormatting sqref="B27">
    <cfRule type="expression" dxfId="55" priority="1">
      <formula>MOD(ROW(),2)=1</formula>
    </cfRule>
  </conditionalFormatting>
  <printOptions horizontalCentered="1"/>
  <pageMargins left="0.74803149606299213" right="0.48" top="0.59055118110236227" bottom="0.59055118110236227" header="0.31496062992125984" footer="0.19685039370078741"/>
  <pageSetup paperSize="9" scale="94" orientation="portrait" horizontalDpi="4294967293"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pageSetUpPr fitToPage="1"/>
  </sheetPr>
  <dimension ref="B2:I24"/>
  <sheetViews>
    <sheetView showGridLines="0" view="pageBreakPreview" zoomScale="90" zoomScaleNormal="100" zoomScaleSheetLayoutView="90" workbookViewId="0">
      <selection activeCell="M15" sqref="M15"/>
    </sheetView>
  </sheetViews>
  <sheetFormatPr defaultColWidth="3.125" defaultRowHeight="13.5" customHeight="1" x14ac:dyDescent="0.15"/>
  <cols>
    <col min="1" max="1" width="3.125" style="1"/>
    <col min="2" max="2" width="13.875" style="1" customWidth="1"/>
    <col min="3" max="3" width="21.875" style="1" customWidth="1"/>
    <col min="4" max="4" width="12.375" style="1" customWidth="1"/>
    <col min="5" max="5" width="14" style="1" customWidth="1"/>
    <col min="6" max="6" width="11.125" style="1" customWidth="1"/>
    <col min="7" max="7" width="5.625" style="1" customWidth="1"/>
    <col min="8" max="8" width="12.25" style="1" customWidth="1"/>
    <col min="9" max="16384" width="3.125" style="1"/>
  </cols>
  <sheetData>
    <row r="2" spans="2:9" ht="13.5" customHeight="1" x14ac:dyDescent="0.15">
      <c r="B2" s="158"/>
      <c r="C2" s="158"/>
      <c r="D2" s="158"/>
      <c r="E2" s="158"/>
      <c r="F2" s="158"/>
      <c r="G2" s="158"/>
      <c r="H2" s="158"/>
    </row>
    <row r="3" spans="2:9" s="2" customFormat="1" ht="36.75" customHeight="1" x14ac:dyDescent="0.55000000000000004">
      <c r="B3" s="198" t="s">
        <v>9</v>
      </c>
      <c r="C3" s="198"/>
      <c r="D3" s="198"/>
      <c r="E3" s="198"/>
      <c r="F3" s="198"/>
      <c r="G3" s="198"/>
      <c r="H3" s="198"/>
    </row>
    <row r="4" spans="2:9" ht="14.25" x14ac:dyDescent="0.15">
      <c r="H4" s="3"/>
    </row>
    <row r="5" spans="2:9" ht="13.5" customHeight="1" x14ac:dyDescent="0.15">
      <c r="B5" s="194" t="str">
        <f>請求書原本!B5</f>
        <v>女性共同法律事務所</v>
      </c>
      <c r="C5" s="194"/>
      <c r="D5" s="194"/>
      <c r="E5" s="8"/>
      <c r="F5" s="200">
        <v>20180001</v>
      </c>
      <c r="G5" s="200"/>
      <c r="H5" s="200"/>
    </row>
    <row r="6" spans="2:9" ht="13.5" customHeight="1" x14ac:dyDescent="0.15">
      <c r="B6" s="194"/>
      <c r="C6" s="194"/>
      <c r="D6" s="194"/>
      <c r="F6" s="199">
        <v>43160</v>
      </c>
      <c r="G6" s="199"/>
      <c r="H6" s="199"/>
    </row>
    <row r="7" spans="2:9" ht="13.5" customHeight="1" x14ac:dyDescent="0.15">
      <c r="B7" s="194" t="str">
        <f>請求書原本!B7</f>
        <v>宮地 様</v>
      </c>
      <c r="C7" s="194"/>
      <c r="D7" s="194"/>
      <c r="F7" s="17"/>
      <c r="G7" s="17"/>
      <c r="H7" s="17"/>
    </row>
    <row r="8" spans="2:9" ht="13.5" customHeight="1" x14ac:dyDescent="0.15">
      <c r="B8" s="194"/>
      <c r="C8" s="194"/>
      <c r="D8" s="194"/>
      <c r="E8" s="188"/>
      <c r="F8" s="17"/>
      <c r="G8" s="17"/>
      <c r="H8" s="17"/>
    </row>
    <row r="9" spans="2:9" ht="13.5" customHeight="1" x14ac:dyDescent="0.15">
      <c r="D9" s="5"/>
      <c r="E9" s="188"/>
      <c r="F9" s="17"/>
      <c r="G9" s="17"/>
      <c r="H9" s="17"/>
    </row>
    <row r="10" spans="2:9" ht="13.5" customHeight="1" x14ac:dyDescent="0.15">
      <c r="B10" s="28" t="s">
        <v>16</v>
      </c>
      <c r="C10" s="17"/>
      <c r="D10" s="26"/>
      <c r="E10" s="4"/>
      <c r="F10" s="38"/>
      <c r="G10" s="17"/>
      <c r="H10" s="17"/>
      <c r="I10" s="30"/>
    </row>
    <row r="11" spans="2:9" ht="13.5" customHeight="1" x14ac:dyDescent="0.15">
      <c r="B11" s="27"/>
      <c r="C11" s="27"/>
      <c r="D11" s="27"/>
      <c r="E11" s="4"/>
      <c r="I11" s="31"/>
    </row>
    <row r="12" spans="2:9" ht="21" customHeight="1" x14ac:dyDescent="0.4">
      <c r="B12" s="43" t="s">
        <v>12</v>
      </c>
      <c r="C12" s="201" t="str">
        <f>請求書原本!C13</f>
        <v>PCコンサルティング及び報告書作成</v>
      </c>
      <c r="D12" s="201"/>
      <c r="E12" s="4"/>
      <c r="F12" s="39"/>
      <c r="G12" s="39"/>
      <c r="H12" s="39"/>
      <c r="I12" s="34"/>
    </row>
    <row r="13" spans="2:9" ht="14.25" x14ac:dyDescent="0.15">
      <c r="B13" s="202" t="s">
        <v>17</v>
      </c>
      <c r="C13" s="203" t="e">
        <f>請求書原本!C18</f>
        <v>#REF!</v>
      </c>
      <c r="D13" s="203"/>
      <c r="E13" s="4"/>
      <c r="I13" s="27"/>
    </row>
    <row r="14" spans="2:9" ht="33.75" customHeight="1" x14ac:dyDescent="0.15">
      <c r="B14" s="202"/>
      <c r="C14" s="203"/>
      <c r="D14" s="203"/>
      <c r="E14" s="9"/>
      <c r="I14" s="35"/>
    </row>
    <row r="15" spans="2:9" ht="18" customHeight="1" x14ac:dyDescent="0.15">
      <c r="E15" s="10"/>
      <c r="F15" s="204" t="e">
        <f>#REF!</f>
        <v>#REF!</v>
      </c>
      <c r="G15" s="204"/>
      <c r="H15" s="204"/>
      <c r="I15" s="35"/>
    </row>
    <row r="16" spans="2:9" ht="14.25" x14ac:dyDescent="0.15">
      <c r="B16" s="23" t="s">
        <v>5</v>
      </c>
      <c r="C16" s="21" t="e">
        <f>請求書原本!I41</f>
        <v>#REF!</v>
      </c>
      <c r="F16" s="207" t="e">
        <f>#REF!</f>
        <v>#REF!</v>
      </c>
      <c r="G16" s="207"/>
      <c r="H16" s="207"/>
      <c r="I16" s="36"/>
    </row>
    <row r="17" spans="2:9" ht="16.5" x14ac:dyDescent="0.15">
      <c r="B17" s="24" t="s">
        <v>6</v>
      </c>
      <c r="C17" s="22" t="e">
        <f>請求書原本!I42</f>
        <v>#REF!</v>
      </c>
      <c r="E17" s="32"/>
      <c r="F17" s="205"/>
      <c r="G17" s="205"/>
      <c r="H17" s="205"/>
      <c r="I17" s="37"/>
    </row>
    <row r="18" spans="2:9" ht="16.5" x14ac:dyDescent="0.15">
      <c r="B18" s="40" t="s">
        <v>10</v>
      </c>
      <c r="C18" s="41"/>
      <c r="F18" s="205"/>
      <c r="G18" s="205"/>
      <c r="H18" s="205"/>
    </row>
    <row r="19" spans="2:9" ht="15.75" customHeight="1" x14ac:dyDescent="0.15">
      <c r="B19" s="42"/>
      <c r="C19" s="42"/>
      <c r="F19" s="206" t="e">
        <f>#REF!</f>
        <v>#REF!</v>
      </c>
      <c r="G19" s="206"/>
      <c r="H19" s="206"/>
    </row>
    <row r="20" spans="2:9" ht="13.5" customHeight="1" x14ac:dyDescent="0.15">
      <c r="F20" s="197" t="e">
        <f>#REF!</f>
        <v>#REF!</v>
      </c>
      <c r="G20" s="197"/>
      <c r="H20" s="197"/>
    </row>
    <row r="24" spans="2:9" ht="13.5" customHeight="1" x14ac:dyDescent="0.15">
      <c r="B24" s="33"/>
      <c r="C24" s="33"/>
      <c r="D24" s="33"/>
      <c r="E24" s="33"/>
      <c r="F24" s="33"/>
      <c r="G24" s="33"/>
      <c r="H24" s="33"/>
    </row>
  </sheetData>
  <mergeCells count="16">
    <mergeCell ref="F20:H20"/>
    <mergeCell ref="B2:H2"/>
    <mergeCell ref="B3:H3"/>
    <mergeCell ref="F6:H6"/>
    <mergeCell ref="F5:H5"/>
    <mergeCell ref="C12:D12"/>
    <mergeCell ref="B13:B14"/>
    <mergeCell ref="C13:D14"/>
    <mergeCell ref="B5:D6"/>
    <mergeCell ref="E8:E9"/>
    <mergeCell ref="B7:D8"/>
    <mergeCell ref="F15:H15"/>
    <mergeCell ref="F18:H18"/>
    <mergeCell ref="F19:H19"/>
    <mergeCell ref="F17:H17"/>
    <mergeCell ref="F16:H16"/>
  </mergeCells>
  <phoneticPr fontId="4"/>
  <printOptions horizontalCentered="1"/>
  <pageMargins left="0.74803149606299213" right="0.74803149606299213" top="0.59055118110236227" bottom="0.59055118110236227" header="0.31496062992125984" footer="0.19685039370078741"/>
  <pageSetup paperSize="9" scale="96" orientation="portrait" horizontalDpi="4294967293"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5D2A4B-AC2B-43E5-9082-2F93FD7FF1ED}">
  <sheetPr codeName="Sheet8">
    <pageSetUpPr fitToPage="1"/>
  </sheetPr>
  <dimension ref="A2:I52"/>
  <sheetViews>
    <sheetView showGridLines="0" view="pageBreakPreview" zoomScaleNormal="100" zoomScaleSheetLayoutView="100" workbookViewId="0">
      <selection activeCell="B51" sqref="B51"/>
    </sheetView>
  </sheetViews>
  <sheetFormatPr defaultColWidth="3.125" defaultRowHeight="13.5" customHeight="1" x14ac:dyDescent="0.15"/>
  <cols>
    <col min="1" max="1" width="7.625" style="1" customWidth="1"/>
    <col min="2" max="2" width="13.875" style="1" customWidth="1"/>
    <col min="3" max="3" width="23.25" style="1" customWidth="1"/>
    <col min="4" max="4" width="11.125" style="1" customWidth="1"/>
    <col min="5" max="5" width="11.625" style="1" customWidth="1"/>
    <col min="6" max="6" width="5.375" style="1" bestFit="1" customWidth="1"/>
    <col min="7" max="7" width="6.625" style="1" customWidth="1"/>
    <col min="8" max="8" width="11.125" style="1" customWidth="1"/>
    <col min="9" max="9" width="12.25" style="1" customWidth="1"/>
    <col min="10" max="16384" width="3.125" style="1"/>
  </cols>
  <sheetData>
    <row r="2" spans="2:9" ht="13.5" customHeight="1" x14ac:dyDescent="0.15">
      <c r="B2" s="158"/>
      <c r="C2" s="158"/>
      <c r="D2" s="158"/>
      <c r="E2" s="158"/>
      <c r="F2" s="158"/>
      <c r="G2" s="158"/>
      <c r="H2" s="158"/>
      <c r="I2" s="158"/>
    </row>
    <row r="3" spans="2:9" s="2" customFormat="1" ht="36.75" customHeight="1" x14ac:dyDescent="0.55000000000000004">
      <c r="B3" s="192" t="s">
        <v>32</v>
      </c>
      <c r="C3" s="192"/>
      <c r="D3" s="192"/>
      <c r="E3" s="192"/>
      <c r="F3" s="192"/>
      <c r="G3" s="192"/>
      <c r="H3" s="192"/>
      <c r="I3" s="192"/>
    </row>
    <row r="4" spans="2:9" ht="15" customHeight="1" x14ac:dyDescent="0.15">
      <c r="F4" s="193"/>
      <c r="G4" s="193"/>
      <c r="H4" s="193"/>
      <c r="I4" s="193"/>
    </row>
    <row r="5" spans="2:9" ht="13.5" customHeight="1" x14ac:dyDescent="0.15">
      <c r="B5" s="194" t="e">
        <f>VLOOKUP(F5,#REF!,3,FALSE)</f>
        <v>#REF!</v>
      </c>
      <c r="C5" s="194"/>
      <c r="D5" s="194"/>
      <c r="E5" s="98"/>
      <c r="F5" s="208">
        <v>20200005</v>
      </c>
      <c r="G5" s="208"/>
      <c r="H5" s="208"/>
      <c r="I5" s="208"/>
    </row>
    <row r="6" spans="2:9" ht="13.5" customHeight="1" x14ac:dyDescent="0.15">
      <c r="B6" s="194"/>
      <c r="C6" s="194"/>
      <c r="D6" s="194"/>
      <c r="F6" s="209">
        <v>43962</v>
      </c>
      <c r="G6" s="209"/>
      <c r="H6" s="209"/>
      <c r="I6" s="209"/>
    </row>
    <row r="7" spans="2:9" ht="13.5" customHeight="1" x14ac:dyDescent="0.15">
      <c r="B7" s="186" t="e">
        <f>VLOOKUP(F5,#REF!,4,FALSE)&amp; " " &amp; VLOOKUP(F5,#REF!,5,FALSE)</f>
        <v>#REF!</v>
      </c>
      <c r="C7" s="186"/>
      <c r="D7" s="186"/>
      <c r="F7" s="187"/>
      <c r="G7" s="187"/>
      <c r="H7" s="187"/>
      <c r="I7" s="187"/>
    </row>
    <row r="8" spans="2:9" ht="13.5" customHeight="1" x14ac:dyDescent="0.15">
      <c r="B8" s="186"/>
      <c r="C8" s="186"/>
      <c r="D8" s="186"/>
      <c r="E8" s="188"/>
      <c r="F8" s="177"/>
      <c r="G8" s="177"/>
      <c r="H8" s="177"/>
      <c r="I8" s="177"/>
    </row>
    <row r="9" spans="2:9" ht="13.5" customHeight="1" x14ac:dyDescent="0.15">
      <c r="B9" s="96"/>
      <c r="C9" s="96"/>
      <c r="D9" s="96"/>
      <c r="E9" s="188"/>
      <c r="F9" s="99"/>
      <c r="G9" s="99"/>
      <c r="H9" s="99"/>
      <c r="I9" s="99"/>
    </row>
    <row r="10" spans="2:9" ht="13.5" customHeight="1" x14ac:dyDescent="0.15">
      <c r="B10" s="189"/>
      <c r="C10" s="189"/>
      <c r="D10" s="189"/>
      <c r="E10" s="188"/>
      <c r="F10" s="97"/>
      <c r="G10" s="97"/>
      <c r="H10" s="97"/>
      <c r="I10" s="97"/>
    </row>
    <row r="11" spans="2:9" ht="19.899999999999999" customHeight="1" x14ac:dyDescent="0.15">
      <c r="B11" s="28" t="s">
        <v>33</v>
      </c>
      <c r="C11" s="17"/>
      <c r="D11" s="101"/>
      <c r="E11" s="4"/>
      <c r="F11" s="191"/>
      <c r="G11" s="191"/>
      <c r="H11" s="191"/>
      <c r="I11" s="191"/>
    </row>
    <row r="12" spans="2:9" ht="9.6" customHeight="1" x14ac:dyDescent="0.15">
      <c r="B12" s="52"/>
      <c r="C12" s="52"/>
      <c r="D12" s="52"/>
      <c r="E12" s="52"/>
      <c r="F12" s="31"/>
      <c r="G12" s="31"/>
      <c r="H12" s="31"/>
      <c r="I12" s="31"/>
    </row>
    <row r="13" spans="2:9" ht="21" customHeight="1" x14ac:dyDescent="0.4">
      <c r="B13" s="43" t="s">
        <v>12</v>
      </c>
      <c r="C13" s="211" t="s">
        <v>38</v>
      </c>
      <c r="D13" s="211"/>
      <c r="E13" s="211"/>
      <c r="F13" s="191"/>
      <c r="G13" s="191"/>
      <c r="H13" s="191"/>
      <c r="I13" s="191"/>
    </row>
    <row r="14" spans="2:9" ht="21" customHeight="1" x14ac:dyDescent="0.4">
      <c r="B14" s="43" t="s">
        <v>34</v>
      </c>
      <c r="C14" s="100">
        <f>EDATE(F6,1)</f>
        <v>43993</v>
      </c>
      <c r="D14" s="100"/>
      <c r="E14" s="100"/>
      <c r="F14" s="177"/>
      <c r="G14" s="177"/>
      <c r="H14" s="177"/>
      <c r="I14" s="177"/>
    </row>
    <row r="15" spans="2:9" ht="19.5" customHeight="1" x14ac:dyDescent="0.4">
      <c r="B15" s="43" t="s">
        <v>35</v>
      </c>
      <c r="C15" s="100">
        <f>EDATE(F7,1)</f>
        <v>31</v>
      </c>
      <c r="D15" s="100"/>
      <c r="E15" s="100"/>
      <c r="F15" s="210" t="e">
        <f>#REF!</f>
        <v>#REF!</v>
      </c>
      <c r="G15" s="210"/>
      <c r="H15" s="210"/>
      <c r="I15" s="210"/>
    </row>
    <row r="16" spans="2:9" ht="16.149999999999999" customHeight="1" x14ac:dyDescent="0.4">
      <c r="B16" s="43" t="s">
        <v>36</v>
      </c>
      <c r="C16" s="100">
        <f>EDATE(F8,1)</f>
        <v>31</v>
      </c>
      <c r="D16" s="100"/>
      <c r="E16" s="100"/>
      <c r="F16" s="210"/>
      <c r="G16" s="210"/>
      <c r="H16" s="210"/>
      <c r="I16" s="210"/>
    </row>
    <row r="17" spans="1:9" ht="16.5" customHeight="1" x14ac:dyDescent="0.4">
      <c r="B17" s="102"/>
      <c r="C17" s="103"/>
      <c r="D17" s="103"/>
      <c r="E17" s="98"/>
      <c r="F17" s="185"/>
      <c r="G17" s="185"/>
      <c r="H17" s="185"/>
      <c r="I17" s="185"/>
    </row>
    <row r="18" spans="1:9" ht="14.25" x14ac:dyDescent="0.15">
      <c r="B18" s="169" t="s">
        <v>39</v>
      </c>
      <c r="C18" s="171" t="e">
        <f>I42</f>
        <v>#REF!</v>
      </c>
      <c r="D18" s="171"/>
      <c r="E18" s="216" t="s">
        <v>40</v>
      </c>
      <c r="F18" s="172"/>
      <c r="G18" s="172"/>
      <c r="H18" s="172"/>
      <c r="I18" s="172"/>
    </row>
    <row r="19" spans="1:9" ht="34.5" customHeight="1" x14ac:dyDescent="0.15">
      <c r="B19" s="170"/>
      <c r="C19" s="171"/>
      <c r="D19" s="171"/>
      <c r="E19" s="216"/>
      <c r="F19" s="98"/>
      <c r="G19" s="98"/>
      <c r="H19" s="98"/>
      <c r="I19" s="98"/>
    </row>
    <row r="20" spans="1:9" ht="12.75" customHeight="1" x14ac:dyDescent="0.15">
      <c r="B20" s="17"/>
      <c r="C20" s="17"/>
      <c r="D20" s="17"/>
      <c r="E20" s="98"/>
      <c r="F20" s="98"/>
      <c r="G20" s="98"/>
      <c r="H20" s="98"/>
      <c r="I20" s="98"/>
    </row>
    <row r="21" spans="1:9" s="44" customFormat="1" ht="20.25" customHeight="1" x14ac:dyDescent="0.15">
      <c r="A21" s="44" t="s">
        <v>18</v>
      </c>
      <c r="B21" s="173" t="s">
        <v>37</v>
      </c>
      <c r="C21" s="173"/>
      <c r="D21" s="173"/>
      <c r="E21" s="173"/>
      <c r="F21" s="45" t="s">
        <v>3</v>
      </c>
      <c r="G21" s="45" t="s">
        <v>11</v>
      </c>
      <c r="H21" s="104" t="s">
        <v>2</v>
      </c>
      <c r="I21" s="46" t="s">
        <v>4</v>
      </c>
    </row>
    <row r="22" spans="1:9" ht="20.25" customHeight="1" x14ac:dyDescent="0.15">
      <c r="A22" s="1" t="s">
        <v>20</v>
      </c>
      <c r="B22" s="217" t="s">
        <v>50</v>
      </c>
      <c r="C22" s="217"/>
      <c r="D22" s="217"/>
      <c r="E22" s="218"/>
      <c r="F22" s="87">
        <v>1</v>
      </c>
      <c r="G22" s="49" t="s">
        <v>43</v>
      </c>
      <c r="H22" s="11">
        <v>200000</v>
      </c>
      <c r="I22" s="13">
        <f t="shared" ref="I22:I39" si="0">IF(F22="","",H22*F22)</f>
        <v>200000</v>
      </c>
    </row>
    <row r="23" spans="1:9" ht="20.25" customHeight="1" x14ac:dyDescent="0.15">
      <c r="B23" s="214" t="s">
        <v>44</v>
      </c>
      <c r="C23" s="214"/>
      <c r="D23" s="214"/>
      <c r="E23" s="215"/>
      <c r="F23" s="88"/>
      <c r="G23" s="49"/>
      <c r="H23" s="11" t="str">
        <f>IF(ISBLANK($A23),"",VLOOKUP($A23,#REF!,5,FALSE))</f>
        <v/>
      </c>
      <c r="I23" s="13" t="str">
        <f t="shared" si="0"/>
        <v/>
      </c>
    </row>
    <row r="24" spans="1:9" ht="20.25" customHeight="1" x14ac:dyDescent="0.15">
      <c r="B24" s="212" t="s">
        <v>45</v>
      </c>
      <c r="C24" s="212"/>
      <c r="D24" s="212"/>
      <c r="E24" s="213"/>
      <c r="F24" s="87">
        <v>4</v>
      </c>
      <c r="G24" s="49" t="s">
        <v>41</v>
      </c>
      <c r="H24" s="11">
        <v>780</v>
      </c>
      <c r="I24" s="13">
        <f t="shared" si="0"/>
        <v>3120</v>
      </c>
    </row>
    <row r="25" spans="1:9" ht="20.25" customHeight="1" x14ac:dyDescent="0.15">
      <c r="B25" s="223" t="s">
        <v>46</v>
      </c>
      <c r="C25" s="223"/>
      <c r="D25" s="223"/>
      <c r="E25" s="224"/>
      <c r="F25" s="87">
        <v>4</v>
      </c>
      <c r="G25" s="49" t="s">
        <v>42</v>
      </c>
      <c r="H25" s="11">
        <v>10000</v>
      </c>
      <c r="I25" s="13">
        <f t="shared" si="0"/>
        <v>40000</v>
      </c>
    </row>
    <row r="26" spans="1:9" ht="20.25" customHeight="1" x14ac:dyDescent="0.15">
      <c r="B26" s="219" t="str">
        <f>IF(ISBLANK($A26),"",VLOOKUP($A26,#REF!,2,FALSE))</f>
        <v/>
      </c>
      <c r="C26" s="219"/>
      <c r="D26" s="219"/>
      <c r="E26" s="220"/>
      <c r="F26" s="88"/>
      <c r="G26" s="49" t="str">
        <f>IF(ISBLANK($A26),"",VLOOKUP($A26,#REF!,4,FALSE))</f>
        <v/>
      </c>
      <c r="H26" s="11" t="str">
        <f>IF(ISBLANK($A26),"",VLOOKUP($A26,#REF!,5,FALSE))</f>
        <v/>
      </c>
      <c r="I26" s="13" t="str">
        <f t="shared" si="0"/>
        <v/>
      </c>
    </row>
    <row r="27" spans="1:9" ht="20.25" customHeight="1" x14ac:dyDescent="0.15">
      <c r="A27" s="1" t="s">
        <v>20</v>
      </c>
      <c r="B27" s="217" t="s">
        <v>48</v>
      </c>
      <c r="C27" s="217"/>
      <c r="D27" s="217"/>
      <c r="E27" s="218"/>
      <c r="F27" s="87">
        <v>1</v>
      </c>
      <c r="G27" s="49" t="s">
        <v>43</v>
      </c>
      <c r="H27" s="11">
        <v>200000</v>
      </c>
      <c r="I27" s="13">
        <f t="shared" si="0"/>
        <v>200000</v>
      </c>
    </row>
    <row r="28" spans="1:9" ht="20.25" customHeight="1" x14ac:dyDescent="0.15">
      <c r="B28" s="221" t="s">
        <v>47</v>
      </c>
      <c r="C28" s="221"/>
      <c r="D28" s="221"/>
      <c r="E28" s="222"/>
      <c r="F28" s="88"/>
      <c r="G28" s="49"/>
      <c r="H28" s="11" t="str">
        <f>IF(ISBLANK($A28),"",VLOOKUP($A28,#REF!,5,FALSE))</f>
        <v/>
      </c>
      <c r="I28" s="13" t="str">
        <f t="shared" si="0"/>
        <v/>
      </c>
    </row>
    <row r="29" spans="1:9" ht="20.25" customHeight="1" x14ac:dyDescent="0.15">
      <c r="B29" s="221" t="s">
        <v>45</v>
      </c>
      <c r="C29" s="221"/>
      <c r="D29" s="221"/>
      <c r="E29" s="222"/>
      <c r="F29" s="87">
        <v>4</v>
      </c>
      <c r="G29" s="49" t="s">
        <v>41</v>
      </c>
      <c r="H29" s="11">
        <v>780</v>
      </c>
      <c r="I29" s="13">
        <f t="shared" si="0"/>
        <v>3120</v>
      </c>
    </row>
    <row r="30" spans="1:9" ht="20.25" customHeight="1" x14ac:dyDescent="0.15">
      <c r="B30" s="225" t="s">
        <v>46</v>
      </c>
      <c r="C30" s="225"/>
      <c r="D30" s="225"/>
      <c r="E30" s="226"/>
      <c r="F30" s="87">
        <v>4</v>
      </c>
      <c r="G30" s="49" t="s">
        <v>42</v>
      </c>
      <c r="H30" s="11">
        <v>10000</v>
      </c>
      <c r="I30" s="13">
        <f t="shared" si="0"/>
        <v>40000</v>
      </c>
    </row>
    <row r="31" spans="1:9" ht="20.25" customHeight="1" x14ac:dyDescent="0.15">
      <c r="B31" s="219"/>
      <c r="C31" s="219"/>
      <c r="D31" s="219"/>
      <c r="E31" s="220"/>
      <c r="F31" s="88"/>
      <c r="G31" s="49" t="str">
        <f>IF(ISBLANK($A31),"",VLOOKUP($A31,#REF!,4,FALSE))</f>
        <v/>
      </c>
      <c r="H31" s="11" t="str">
        <f>IF(ISBLANK($A31),"",VLOOKUP($A31,#REF!,5,FALSE))</f>
        <v/>
      </c>
      <c r="I31" s="13" t="str">
        <f t="shared" si="0"/>
        <v/>
      </c>
    </row>
    <row r="32" spans="1:9" ht="20.25" customHeight="1" x14ac:dyDescent="0.15">
      <c r="A32" s="1" t="s">
        <v>20</v>
      </c>
      <c r="B32" s="217" t="s">
        <v>49</v>
      </c>
      <c r="C32" s="217"/>
      <c r="D32" s="217"/>
      <c r="E32" s="218"/>
      <c r="F32" s="87">
        <v>1</v>
      </c>
      <c r="G32" s="49" t="s">
        <v>43</v>
      </c>
      <c r="H32" s="11">
        <v>200000</v>
      </c>
      <c r="I32" s="13">
        <f t="shared" si="0"/>
        <v>200000</v>
      </c>
    </row>
    <row r="33" spans="2:9" ht="20.25" customHeight="1" x14ac:dyDescent="0.15">
      <c r="B33" s="221" t="s">
        <v>47</v>
      </c>
      <c r="C33" s="221"/>
      <c r="D33" s="221"/>
      <c r="E33" s="222"/>
      <c r="F33" s="88"/>
      <c r="G33" s="49"/>
      <c r="H33" s="11" t="str">
        <f>IF(ISBLANK($A33),"",VLOOKUP($A33,#REF!,5,FALSE))</f>
        <v/>
      </c>
      <c r="I33" s="13" t="str">
        <f t="shared" si="0"/>
        <v/>
      </c>
    </row>
    <row r="34" spans="2:9" ht="20.25" customHeight="1" x14ac:dyDescent="0.15">
      <c r="B34" s="221" t="s">
        <v>45</v>
      </c>
      <c r="C34" s="221"/>
      <c r="D34" s="221"/>
      <c r="E34" s="222"/>
      <c r="F34" s="87">
        <v>4</v>
      </c>
      <c r="G34" s="49" t="s">
        <v>41</v>
      </c>
      <c r="H34" s="11">
        <v>780</v>
      </c>
      <c r="I34" s="13">
        <f t="shared" si="0"/>
        <v>3120</v>
      </c>
    </row>
    <row r="35" spans="2:9" ht="20.25" customHeight="1" x14ac:dyDescent="0.15">
      <c r="B35" s="225" t="s">
        <v>46</v>
      </c>
      <c r="C35" s="225"/>
      <c r="D35" s="225"/>
      <c r="E35" s="226"/>
      <c r="F35" s="87">
        <v>4</v>
      </c>
      <c r="G35" s="49" t="s">
        <v>42</v>
      </c>
      <c r="H35" s="11">
        <v>10000</v>
      </c>
      <c r="I35" s="13">
        <f t="shared" si="0"/>
        <v>40000</v>
      </c>
    </row>
    <row r="36" spans="2:9" ht="20.25" customHeight="1" x14ac:dyDescent="0.15">
      <c r="B36" s="219" t="str">
        <f>IF(ISBLANK($A36),"",VLOOKUP($A36,#REF!,2,FALSE))</f>
        <v/>
      </c>
      <c r="C36" s="219"/>
      <c r="D36" s="219"/>
      <c r="E36" s="220"/>
      <c r="F36" s="88"/>
      <c r="G36" s="49" t="str">
        <f>IF(ISBLANK($A36),"",VLOOKUP($A36,#REF!,4,FALSE))</f>
        <v/>
      </c>
      <c r="H36" s="11" t="str">
        <f>IF(ISBLANK($A36),"",VLOOKUP($A36,#REF!,5,FALSE))</f>
        <v/>
      </c>
      <c r="I36" s="13" t="str">
        <f t="shared" si="0"/>
        <v/>
      </c>
    </row>
    <row r="37" spans="2:9" ht="20.25" customHeight="1" x14ac:dyDescent="0.15">
      <c r="B37" s="219"/>
      <c r="C37" s="219"/>
      <c r="D37" s="219"/>
      <c r="E37" s="220"/>
      <c r="F37" s="89"/>
      <c r="G37" s="49" t="str">
        <f>IF(ISBLANK($A37),"",VLOOKUP($A37,#REF!,4,FALSE))</f>
        <v/>
      </c>
      <c r="H37" s="11" t="str">
        <f>IF(ISBLANK($A37),"",VLOOKUP($A37,#REF!,5,FALSE))</f>
        <v/>
      </c>
      <c r="I37" s="13" t="str">
        <f t="shared" si="0"/>
        <v/>
      </c>
    </row>
    <row r="38" spans="2:9" ht="20.25" customHeight="1" x14ac:dyDescent="0.15">
      <c r="B38" s="219" t="str">
        <f>IF(ISBLANK($A38),"",VLOOKUP($A38,#REF!,2,FALSE))</f>
        <v/>
      </c>
      <c r="C38" s="219"/>
      <c r="D38" s="219"/>
      <c r="E38" s="220"/>
      <c r="F38" s="89"/>
      <c r="G38" s="49" t="str">
        <f>IF(ISBLANK($A38),"",VLOOKUP($A38,#REF!,4,FALSE))</f>
        <v/>
      </c>
      <c r="H38" s="11" t="str">
        <f>IF(ISBLANK($A38),"",VLOOKUP($A38,#REF!,5,FALSE))</f>
        <v/>
      </c>
      <c r="I38" s="13" t="str">
        <f t="shared" si="0"/>
        <v/>
      </c>
    </row>
    <row r="39" spans="2:9" ht="20.25" customHeight="1" x14ac:dyDescent="0.15">
      <c r="B39" s="227" t="str">
        <f>IF(ISBLANK($A39),"",VLOOKUP($A39,#REF!,2,FALSE))</f>
        <v/>
      </c>
      <c r="C39" s="227"/>
      <c r="D39" s="227"/>
      <c r="E39" s="228"/>
      <c r="F39" s="90"/>
      <c r="G39" s="105" t="str">
        <f>IF(ISBLANK($A39),"",VLOOKUP($A39,#REF!,4,FALSE))</f>
        <v/>
      </c>
      <c r="H39" s="15" t="str">
        <f>IF(ISBLANK($A39),"",VLOOKUP($A39,#REF!,5,FALSE))</f>
        <v/>
      </c>
      <c r="I39" s="58" t="str">
        <f t="shared" si="0"/>
        <v/>
      </c>
    </row>
    <row r="40" spans="2:9" ht="18.75" customHeight="1" x14ac:dyDescent="0.15">
      <c r="F40" s="155" t="s">
        <v>5</v>
      </c>
      <c r="G40" s="155"/>
      <c r="H40" s="155"/>
      <c r="I40" s="50">
        <f>SUM(I22:I39)</f>
        <v>729360</v>
      </c>
    </row>
    <row r="41" spans="2:9" ht="18.75" customHeight="1" x14ac:dyDescent="0.15">
      <c r="F41" s="156" t="s">
        <v>6</v>
      </c>
      <c r="G41" s="156"/>
      <c r="H41" s="156"/>
      <c r="I41" s="50" t="e">
        <f>I40*#REF!</f>
        <v>#REF!</v>
      </c>
    </row>
    <row r="42" spans="2:9" ht="18.75" customHeight="1" thickBot="1" x14ac:dyDescent="0.2">
      <c r="F42" s="157" t="s">
        <v>7</v>
      </c>
      <c r="G42" s="157"/>
      <c r="H42" s="157"/>
      <c r="I42" s="51" t="e">
        <f>SUM(I40:I41)</f>
        <v>#REF!</v>
      </c>
    </row>
    <row r="43" spans="2:9" ht="13.5" customHeight="1" thickTop="1" x14ac:dyDescent="0.15"/>
    <row r="44" spans="2:9" ht="13.5" customHeight="1" x14ac:dyDescent="0.15">
      <c r="B44" s="19" t="s">
        <v>8</v>
      </c>
      <c r="C44" s="6"/>
      <c r="D44" s="6"/>
      <c r="E44" s="6"/>
      <c r="F44" s="6"/>
      <c r="G44" s="6"/>
      <c r="H44" s="6"/>
      <c r="I44" s="6"/>
    </row>
    <row r="45" spans="2:9" ht="4.5" customHeight="1" x14ac:dyDescent="0.15">
      <c r="B45" s="20"/>
      <c r="C45" s="7"/>
      <c r="D45" s="7"/>
      <c r="E45" s="7"/>
      <c r="F45" s="7"/>
    </row>
    <row r="46" spans="2:9" ht="13.5" customHeight="1" x14ac:dyDescent="0.15">
      <c r="B46" s="17" t="s">
        <v>52</v>
      </c>
    </row>
    <row r="47" spans="2:9" ht="13.5" customHeight="1" x14ac:dyDescent="0.15">
      <c r="B47" s="17" t="s">
        <v>51</v>
      </c>
    </row>
    <row r="48" spans="2:9" ht="13.5" customHeight="1" x14ac:dyDescent="0.15">
      <c r="B48" s="17"/>
    </row>
    <row r="49" spans="2:9" ht="13.5" customHeight="1" x14ac:dyDescent="0.15">
      <c r="B49" s="17" t="s">
        <v>53</v>
      </c>
    </row>
    <row r="50" spans="2:9" ht="13.5" customHeight="1" x14ac:dyDescent="0.15">
      <c r="B50" s="17" t="s">
        <v>54</v>
      </c>
    </row>
    <row r="51" spans="2:9" ht="13.5" customHeight="1" x14ac:dyDescent="0.15">
      <c r="B51" s="17"/>
    </row>
    <row r="52" spans="2:9" ht="13.5" customHeight="1" x14ac:dyDescent="0.15">
      <c r="B52" s="158"/>
      <c r="C52" s="158"/>
      <c r="D52" s="158"/>
      <c r="E52" s="158"/>
      <c r="F52" s="158"/>
      <c r="G52" s="158"/>
      <c r="H52" s="158"/>
      <c r="I52" s="158"/>
    </row>
  </sheetData>
  <mergeCells count="44">
    <mergeCell ref="F40:H40"/>
    <mergeCell ref="F41:H41"/>
    <mergeCell ref="F42:H42"/>
    <mergeCell ref="B52:I52"/>
    <mergeCell ref="B39:E39"/>
    <mergeCell ref="B36:E36"/>
    <mergeCell ref="B37:E37"/>
    <mergeCell ref="B38:E38"/>
    <mergeCell ref="B28:E28"/>
    <mergeCell ref="B25:E25"/>
    <mergeCell ref="B26:E26"/>
    <mergeCell ref="B31:E31"/>
    <mergeCell ref="B27:E27"/>
    <mergeCell ref="B32:E32"/>
    <mergeCell ref="B33:E33"/>
    <mergeCell ref="B34:E34"/>
    <mergeCell ref="B35:E35"/>
    <mergeCell ref="B29:E29"/>
    <mergeCell ref="B30:E30"/>
    <mergeCell ref="B24:E24"/>
    <mergeCell ref="B23:E23"/>
    <mergeCell ref="B18:B19"/>
    <mergeCell ref="C18:D19"/>
    <mergeCell ref="F18:I18"/>
    <mergeCell ref="B21:E21"/>
    <mergeCell ref="E18:E19"/>
    <mergeCell ref="B22:E22"/>
    <mergeCell ref="F14:I14"/>
    <mergeCell ref="F15:I16"/>
    <mergeCell ref="F17:I17"/>
    <mergeCell ref="B7:D8"/>
    <mergeCell ref="F7:I7"/>
    <mergeCell ref="E8:E10"/>
    <mergeCell ref="F8:I8"/>
    <mergeCell ref="B10:D10"/>
    <mergeCell ref="C13:E13"/>
    <mergeCell ref="F13:I13"/>
    <mergeCell ref="F11:I11"/>
    <mergeCell ref="B2:I2"/>
    <mergeCell ref="B3:I3"/>
    <mergeCell ref="F4:I4"/>
    <mergeCell ref="B5:D6"/>
    <mergeCell ref="F5:I5"/>
    <mergeCell ref="F6:I6"/>
  </mergeCells>
  <phoneticPr fontId="4"/>
  <conditionalFormatting sqref="B22:B24 B39 F36:I39 F22:I31">
    <cfRule type="expression" dxfId="54" priority="33">
      <formula>MOD(ROW(),2)=1</formula>
    </cfRule>
  </conditionalFormatting>
  <conditionalFormatting sqref="B23">
    <cfRule type="expression" dxfId="53" priority="30">
      <formula>MOD(ROW(),2)=1</formula>
    </cfRule>
  </conditionalFormatting>
  <conditionalFormatting sqref="B26">
    <cfRule type="expression" dxfId="52" priority="27">
      <formula>MOD(ROW(),2)=1</formula>
    </cfRule>
  </conditionalFormatting>
  <conditionalFormatting sqref="B25">
    <cfRule type="expression" dxfId="51" priority="26">
      <formula>MOD(ROW(),2)=1</formula>
    </cfRule>
  </conditionalFormatting>
  <conditionalFormatting sqref="B36">
    <cfRule type="expression" dxfId="50" priority="25">
      <formula>MOD(ROW(),2)=1</formula>
    </cfRule>
  </conditionalFormatting>
  <conditionalFormatting sqref="B31">
    <cfRule type="expression" dxfId="49" priority="24">
      <formula>MOD(ROW(),2)=1</formula>
    </cfRule>
  </conditionalFormatting>
  <conditionalFormatting sqref="B38">
    <cfRule type="expression" dxfId="48" priority="23">
      <formula>MOD(ROW(),2)=1</formula>
    </cfRule>
  </conditionalFormatting>
  <conditionalFormatting sqref="B37">
    <cfRule type="expression" dxfId="47" priority="22">
      <formula>MOD(ROW(),2)=1</formula>
    </cfRule>
  </conditionalFormatting>
  <conditionalFormatting sqref="B27:B28 B30">
    <cfRule type="expression" dxfId="46" priority="21">
      <formula>MOD(ROW(),2)=1</formula>
    </cfRule>
  </conditionalFormatting>
  <conditionalFormatting sqref="B29">
    <cfRule type="expression" dxfId="45" priority="20">
      <formula>MOD(ROW(),2)=1</formula>
    </cfRule>
  </conditionalFormatting>
  <conditionalFormatting sqref="B28">
    <cfRule type="expression" dxfId="44" priority="18">
      <formula>MOD(ROW(),2)=1</formula>
    </cfRule>
  </conditionalFormatting>
  <conditionalFormatting sqref="F33:I35 F32:G32 I32">
    <cfRule type="expression" dxfId="43" priority="7">
      <formula>MOD(ROW(),2)=1</formula>
    </cfRule>
  </conditionalFormatting>
  <conditionalFormatting sqref="B32:B33 B35">
    <cfRule type="expression" dxfId="42" priority="6">
      <formula>MOD(ROW(),2)=1</formula>
    </cfRule>
  </conditionalFormatting>
  <conditionalFormatting sqref="B34">
    <cfRule type="expression" dxfId="41" priority="5">
      <formula>MOD(ROW(),2)=1</formula>
    </cfRule>
  </conditionalFormatting>
  <conditionalFormatting sqref="B33">
    <cfRule type="expression" dxfId="40" priority="4">
      <formula>MOD(ROW(),2)=1</formula>
    </cfRule>
  </conditionalFormatting>
  <conditionalFormatting sqref="H32">
    <cfRule type="expression" dxfId="39" priority="1">
      <formula>MOD(ROW(),2)=1</formula>
    </cfRule>
  </conditionalFormatting>
  <printOptions horizontalCentered="1"/>
  <pageMargins left="0.94488188976377963" right="0.47244094488188981" top="0.59055118110236227" bottom="0.59055118110236227" header="0.31496062992125984" footer="0.19685039370078741"/>
  <pageSetup paperSize="9" scale="92" orientation="portrait" horizontalDpi="4294967293"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42AC1-2DB7-404B-B874-EEF27AE52A19}">
  <sheetPr codeName="Sheet9">
    <pageSetUpPr fitToPage="1"/>
  </sheetPr>
  <dimension ref="B2:I24"/>
  <sheetViews>
    <sheetView showGridLines="0" view="pageBreakPreview" zoomScale="90" zoomScaleNormal="100" zoomScaleSheetLayoutView="90" workbookViewId="0">
      <selection activeCell="D37" sqref="D37:E37"/>
    </sheetView>
  </sheetViews>
  <sheetFormatPr defaultColWidth="3.125" defaultRowHeight="13.5" customHeight="1" x14ac:dyDescent="0.15"/>
  <cols>
    <col min="1" max="1" width="3.125" style="1"/>
    <col min="2" max="2" width="13.875" style="1" customWidth="1"/>
    <col min="3" max="3" width="21.875" style="1" customWidth="1"/>
    <col min="4" max="4" width="12.375" style="1" customWidth="1"/>
    <col min="5" max="5" width="14" style="1" customWidth="1"/>
    <col min="6" max="6" width="11.125" style="1" customWidth="1"/>
    <col min="7" max="7" width="5.625" style="1" customWidth="1"/>
    <col min="8" max="8" width="12.25" style="1" customWidth="1"/>
    <col min="9" max="16384" width="3.125" style="1"/>
  </cols>
  <sheetData>
    <row r="2" spans="2:9" ht="13.5" customHeight="1" x14ac:dyDescent="0.15">
      <c r="B2" s="158"/>
      <c r="C2" s="158"/>
      <c r="D2" s="158"/>
      <c r="E2" s="158"/>
      <c r="F2" s="158"/>
      <c r="G2" s="158"/>
      <c r="H2" s="158"/>
    </row>
    <row r="3" spans="2:9" s="2" customFormat="1" ht="36.75" customHeight="1" x14ac:dyDescent="0.55000000000000004">
      <c r="B3" s="198" t="s">
        <v>9</v>
      </c>
      <c r="C3" s="198"/>
      <c r="D3" s="198"/>
      <c r="E3" s="198"/>
      <c r="F3" s="198"/>
      <c r="G3" s="198"/>
      <c r="H3" s="198"/>
    </row>
    <row r="4" spans="2:9" ht="14.25" x14ac:dyDescent="0.15">
      <c r="H4" s="3"/>
    </row>
    <row r="5" spans="2:9" ht="13.5" customHeight="1" x14ac:dyDescent="0.15">
      <c r="B5" s="194" t="e">
        <f>VLOOKUP(F5,#REF!,3,FALSE)</f>
        <v>#REF!</v>
      </c>
      <c r="C5" s="194"/>
      <c r="D5" s="194"/>
      <c r="E5" s="85"/>
      <c r="F5" s="200">
        <v>20200003</v>
      </c>
      <c r="G5" s="200"/>
      <c r="H5" s="200"/>
    </row>
    <row r="6" spans="2:9" ht="13.5" customHeight="1" x14ac:dyDescent="0.15">
      <c r="B6" s="194"/>
      <c r="C6" s="194"/>
      <c r="D6" s="194"/>
      <c r="F6" s="199">
        <v>43951</v>
      </c>
      <c r="G6" s="199"/>
      <c r="H6" s="199"/>
    </row>
    <row r="7" spans="2:9" ht="13.5" customHeight="1" x14ac:dyDescent="0.15">
      <c r="B7" s="186" t="e">
        <f>VLOOKUP(F5,#REF!,4,FALSE)&amp; " " &amp; VLOOKUP(F5,#REF!,5,FALSE)</f>
        <v>#REF!</v>
      </c>
      <c r="C7" s="186"/>
      <c r="D7" s="186"/>
      <c r="F7" s="17"/>
      <c r="G7" s="17"/>
      <c r="H7" s="17"/>
    </row>
    <row r="8" spans="2:9" ht="13.5" customHeight="1" x14ac:dyDescent="0.15">
      <c r="B8" s="186"/>
      <c r="C8" s="186"/>
      <c r="D8" s="186"/>
      <c r="E8" s="188"/>
      <c r="F8" s="17"/>
      <c r="G8" s="17"/>
      <c r="H8" s="17"/>
    </row>
    <row r="9" spans="2:9" ht="13.5" customHeight="1" x14ac:dyDescent="0.15">
      <c r="D9" s="5"/>
      <c r="E9" s="188"/>
      <c r="F9" s="17"/>
      <c r="G9" s="17"/>
      <c r="H9" s="17"/>
    </row>
    <row r="10" spans="2:9" ht="13.5" customHeight="1" x14ac:dyDescent="0.15">
      <c r="B10" s="28" t="s">
        <v>16</v>
      </c>
      <c r="C10" s="17"/>
      <c r="D10" s="86"/>
      <c r="E10" s="4"/>
      <c r="F10" s="38"/>
      <c r="G10" s="17"/>
      <c r="H10" s="17"/>
      <c r="I10" s="30"/>
    </row>
    <row r="11" spans="2:9" ht="13.5" customHeight="1" x14ac:dyDescent="0.15">
      <c r="B11" s="27"/>
      <c r="C11" s="27"/>
      <c r="D11" s="27"/>
      <c r="E11" s="4"/>
      <c r="I11" s="31"/>
    </row>
    <row r="12" spans="2:9" ht="21" customHeight="1" x14ac:dyDescent="0.4">
      <c r="B12" s="43" t="s">
        <v>12</v>
      </c>
      <c r="C12" s="201" t="s">
        <v>30</v>
      </c>
      <c r="D12" s="201"/>
      <c r="E12" s="4"/>
      <c r="F12" s="39"/>
      <c r="G12" s="39"/>
      <c r="H12" s="39"/>
      <c r="I12" s="34"/>
    </row>
    <row r="13" spans="2:9" ht="14.25" x14ac:dyDescent="0.15">
      <c r="B13" s="202" t="s">
        <v>17</v>
      </c>
      <c r="C13" s="203" t="e">
        <f>SUM(C16:C17)</f>
        <v>#REF!</v>
      </c>
      <c r="D13" s="203"/>
      <c r="E13" s="4"/>
      <c r="I13" s="27"/>
    </row>
    <row r="14" spans="2:9" ht="33.75" customHeight="1" x14ac:dyDescent="0.15">
      <c r="B14" s="202"/>
      <c r="C14" s="203"/>
      <c r="D14" s="203"/>
      <c r="E14" s="85"/>
      <c r="I14" s="35"/>
    </row>
    <row r="15" spans="2:9" ht="18" customHeight="1" x14ac:dyDescent="0.15">
      <c r="E15" s="10"/>
      <c r="F15" s="191" t="e">
        <f>#REF!</f>
        <v>#REF!</v>
      </c>
      <c r="G15" s="191"/>
      <c r="H15" s="191"/>
      <c r="I15" s="191"/>
    </row>
    <row r="16" spans="2:9" ht="14.25" x14ac:dyDescent="0.15">
      <c r="B16" s="23" t="s">
        <v>5</v>
      </c>
      <c r="C16" s="21">
        <v>10000</v>
      </c>
      <c r="F16" s="177" t="e">
        <f>#REF!</f>
        <v>#REF!</v>
      </c>
      <c r="G16" s="177"/>
      <c r="H16" s="177"/>
      <c r="I16" s="177"/>
    </row>
    <row r="17" spans="2:9" ht="14.25" x14ac:dyDescent="0.15">
      <c r="B17" s="24" t="s">
        <v>6</v>
      </c>
      <c r="C17" s="22" t="e">
        <f>請求書原本!I42</f>
        <v>#REF!</v>
      </c>
      <c r="E17" s="32"/>
      <c r="F17" s="210" t="e">
        <f>#REF!</f>
        <v>#REF!</v>
      </c>
      <c r="G17" s="210"/>
      <c r="H17" s="210"/>
      <c r="I17" s="210"/>
    </row>
    <row r="18" spans="2:9" ht="14.25" x14ac:dyDescent="0.15">
      <c r="B18" s="40" t="s">
        <v>10</v>
      </c>
      <c r="C18" s="41"/>
      <c r="F18" s="210"/>
      <c r="G18" s="210"/>
      <c r="H18" s="210"/>
      <c r="I18" s="210"/>
    </row>
    <row r="19" spans="2:9" ht="15.75" customHeight="1" x14ac:dyDescent="0.15">
      <c r="B19" s="42"/>
      <c r="C19" s="42"/>
      <c r="F19" s="185" t="e">
        <f>#REF!</f>
        <v>#REF!</v>
      </c>
      <c r="G19" s="185"/>
      <c r="H19" s="185"/>
      <c r="I19" s="185"/>
    </row>
    <row r="20" spans="2:9" ht="13.5" customHeight="1" x14ac:dyDescent="0.15">
      <c r="F20" s="172" t="e">
        <f>#REF!</f>
        <v>#REF!</v>
      </c>
      <c r="G20" s="172"/>
      <c r="H20" s="172"/>
      <c r="I20" s="172"/>
    </row>
    <row r="24" spans="2:9" ht="13.5" customHeight="1" x14ac:dyDescent="0.15">
      <c r="B24" s="84"/>
      <c r="C24" s="84"/>
      <c r="D24" s="84"/>
      <c r="E24" s="84"/>
      <c r="F24" s="84"/>
      <c r="G24" s="84"/>
      <c r="H24" s="84"/>
    </row>
  </sheetData>
  <mergeCells count="15">
    <mergeCell ref="F15:I15"/>
    <mergeCell ref="F16:I16"/>
    <mergeCell ref="F17:I18"/>
    <mergeCell ref="F19:I19"/>
    <mergeCell ref="F20:I20"/>
    <mergeCell ref="C12:D12"/>
    <mergeCell ref="B13:B14"/>
    <mergeCell ref="C13:D14"/>
    <mergeCell ref="B2:H2"/>
    <mergeCell ref="B3:H3"/>
    <mergeCell ref="B5:D6"/>
    <mergeCell ref="F5:H5"/>
    <mergeCell ref="F6:H6"/>
    <mergeCell ref="B7:D8"/>
    <mergeCell ref="E8:E9"/>
  </mergeCells>
  <phoneticPr fontId="4"/>
  <printOptions horizontalCentered="1"/>
  <pageMargins left="0.74803149606299213" right="0.74803149606299213" top="0.59055118110236227" bottom="0.59055118110236227" header="0.31496062992125984" footer="0.19685039370078741"/>
  <pageSetup paperSize="9" scale="96" orientation="portrait" horizontalDpi="4294967293"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D3BB58-3401-412D-885A-AA3069E145BC}">
  <sheetPr codeName="Sheet10">
    <pageSetUpPr fitToPage="1"/>
  </sheetPr>
  <dimension ref="A2:I53"/>
  <sheetViews>
    <sheetView showGridLines="0" view="pageBreakPreview" zoomScaleNormal="100" zoomScaleSheetLayoutView="100" workbookViewId="0">
      <selection activeCell="C45" sqref="C45"/>
    </sheetView>
  </sheetViews>
  <sheetFormatPr defaultColWidth="3.125" defaultRowHeight="13.5" customHeight="1" x14ac:dyDescent="0.15"/>
  <cols>
    <col min="1" max="1" width="7.625" style="1" customWidth="1"/>
    <col min="2" max="2" width="13.875" style="1" customWidth="1"/>
    <col min="3" max="3" width="9.375" style="1" customWidth="1"/>
    <col min="4" max="4" width="19.5" style="1" customWidth="1"/>
    <col min="5" max="5" width="16.75" style="1" customWidth="1"/>
    <col min="6" max="6" width="11.125" style="1" customWidth="1"/>
    <col min="7" max="7" width="6.625" style="1" customWidth="1"/>
    <col min="8" max="8" width="6.125" style="1" customWidth="1"/>
    <col min="9" max="9" width="12.25" style="1" customWidth="1"/>
    <col min="10" max="16384" width="3.125" style="1"/>
  </cols>
  <sheetData>
    <row r="2" spans="2:9" ht="13.5" customHeight="1" x14ac:dyDescent="0.15">
      <c r="B2" s="158"/>
      <c r="C2" s="158"/>
      <c r="D2" s="158"/>
      <c r="E2" s="158"/>
      <c r="F2" s="158"/>
      <c r="G2" s="158"/>
      <c r="H2" s="158"/>
      <c r="I2" s="158"/>
    </row>
    <row r="3" spans="2:9" s="2" customFormat="1" ht="36.75" customHeight="1" x14ac:dyDescent="0.55000000000000004">
      <c r="B3" s="192" t="s">
        <v>22</v>
      </c>
      <c r="C3" s="192"/>
      <c r="D3" s="192"/>
      <c r="E3" s="192"/>
      <c r="F3" s="192"/>
      <c r="G3" s="192"/>
      <c r="H3" s="192"/>
      <c r="I3" s="192"/>
    </row>
    <row r="4" spans="2:9" ht="15" customHeight="1" x14ac:dyDescent="0.15">
      <c r="F4" s="193"/>
      <c r="G4" s="193"/>
      <c r="H4" s="193"/>
      <c r="I4" s="193"/>
    </row>
    <row r="5" spans="2:9" ht="13.5" customHeight="1" x14ac:dyDescent="0.15">
      <c r="B5" s="194" t="str">
        <f>VLOOKUP(F5,請求書履歴!$A$2:$E$40,3,FALSE)</f>
        <v>女性共同法律事務所</v>
      </c>
      <c r="C5" s="194"/>
      <c r="D5" s="194"/>
      <c r="E5" s="131"/>
      <c r="F5" s="195">
        <v>20200010</v>
      </c>
      <c r="G5" s="195"/>
      <c r="H5" s="195"/>
      <c r="I5" s="195"/>
    </row>
    <row r="6" spans="2:9" ht="13.5" customHeight="1" x14ac:dyDescent="0.15">
      <c r="B6" s="194"/>
      <c r="C6" s="194"/>
      <c r="D6" s="194"/>
      <c r="F6" s="196">
        <v>44196</v>
      </c>
      <c r="G6" s="196"/>
      <c r="H6" s="196"/>
      <c r="I6" s="196"/>
    </row>
    <row r="7" spans="2:9" ht="13.5" customHeight="1" x14ac:dyDescent="0.15">
      <c r="B7" s="186" t="str">
        <f>VLOOKUP(F5,請求書履歴!$A$2:$E$40,4,FALSE)&amp; " " &amp; VLOOKUP(F5,請求書履歴!$A$2:$E$40,5,FALSE)</f>
        <v>宮地 様</v>
      </c>
      <c r="C7" s="186"/>
      <c r="D7" s="186"/>
      <c r="F7" s="187"/>
      <c r="G7" s="187"/>
      <c r="H7" s="187"/>
      <c r="I7" s="187"/>
    </row>
    <row r="8" spans="2:9" ht="13.5" customHeight="1" x14ac:dyDescent="0.15">
      <c r="B8" s="186"/>
      <c r="C8" s="186"/>
      <c r="D8" s="186"/>
      <c r="E8" s="188"/>
      <c r="F8" s="177"/>
      <c r="G8" s="177"/>
      <c r="H8" s="177"/>
      <c r="I8" s="177"/>
    </row>
    <row r="9" spans="2:9" ht="13.5" customHeight="1" x14ac:dyDescent="0.15">
      <c r="B9" s="129"/>
      <c r="C9" s="129"/>
      <c r="D9" s="129"/>
      <c r="E9" s="188"/>
      <c r="F9" s="132"/>
      <c r="G9" s="132"/>
      <c r="H9" s="132"/>
      <c r="I9" s="132"/>
    </row>
    <row r="10" spans="2:9" ht="13.5" customHeight="1" x14ac:dyDescent="0.15">
      <c r="B10" s="189"/>
      <c r="C10" s="189"/>
      <c r="D10" s="189"/>
      <c r="E10" s="188"/>
      <c r="F10" s="130"/>
      <c r="G10" s="130"/>
      <c r="H10" s="130"/>
      <c r="I10" s="130"/>
    </row>
    <row r="11" spans="2:9" ht="13.5" customHeight="1" x14ac:dyDescent="0.15">
      <c r="B11" s="28" t="s">
        <v>23</v>
      </c>
      <c r="C11" s="17"/>
      <c r="D11" s="133"/>
      <c r="E11" s="4"/>
      <c r="F11" s="29"/>
      <c r="G11" s="130"/>
      <c r="H11" s="130"/>
      <c r="I11" s="30"/>
    </row>
    <row r="12" spans="2:9" ht="13.5" customHeight="1" x14ac:dyDescent="0.15">
      <c r="B12" s="52"/>
      <c r="C12" s="52"/>
      <c r="D12" s="52"/>
      <c r="E12" s="4"/>
      <c r="F12" s="31"/>
      <c r="G12" s="31"/>
      <c r="H12" s="31"/>
      <c r="I12" s="31"/>
    </row>
    <row r="13" spans="2:9" ht="21" customHeight="1" x14ac:dyDescent="0.4">
      <c r="B13" s="43" t="s">
        <v>12</v>
      </c>
      <c r="C13" s="190" t="s">
        <v>126</v>
      </c>
      <c r="D13" s="190"/>
      <c r="E13" s="4"/>
      <c r="F13" s="191">
        <f>各種設定!C6</f>
        <v>6390223</v>
      </c>
      <c r="G13" s="191"/>
      <c r="H13" s="191"/>
      <c r="I13" s="191"/>
    </row>
    <row r="14" spans="2:9" ht="21" customHeight="1" x14ac:dyDescent="0.4">
      <c r="B14" s="43" t="s">
        <v>25</v>
      </c>
      <c r="C14" s="176">
        <f>EDATE(F6,1)</f>
        <v>44227</v>
      </c>
      <c r="D14" s="176"/>
      <c r="E14" s="4"/>
      <c r="F14" s="177" t="str">
        <f>各種設定!C7</f>
        <v>奈良県香芝市真美ヶ丘7-1-2</v>
      </c>
      <c r="G14" s="177"/>
      <c r="H14" s="177"/>
      <c r="I14" s="177"/>
    </row>
    <row r="15" spans="2:9" ht="19.5" customHeight="1" x14ac:dyDescent="0.4">
      <c r="B15" s="178" t="s">
        <v>13</v>
      </c>
      <c r="C15" s="181" t="str">
        <f>各種設定!C15&amp;" 　"&amp;各種設定!C16</f>
        <v>りそな 銀行 　香芝 支店</v>
      </c>
      <c r="D15" s="181"/>
      <c r="E15" s="131"/>
      <c r="F15" s="182" t="str">
        <f>各種設定!C10</f>
        <v>松田　ひとみ</v>
      </c>
      <c r="G15" s="182"/>
      <c r="H15" s="182"/>
      <c r="I15" s="182"/>
    </row>
    <row r="16" spans="2:9" ht="16.5" x14ac:dyDescent="0.4">
      <c r="B16" s="179"/>
      <c r="C16" s="183" t="str">
        <f>各種設定!C17</f>
        <v>普通　6275173</v>
      </c>
      <c r="D16" s="183"/>
      <c r="F16" s="182"/>
      <c r="G16" s="182"/>
      <c r="H16" s="182"/>
      <c r="I16" s="182"/>
    </row>
    <row r="17" spans="1:9" ht="16.5" customHeight="1" x14ac:dyDescent="0.4">
      <c r="B17" s="180"/>
      <c r="C17" s="184" t="str">
        <f>各種設定!C18</f>
        <v>マツダ　ヒトミ</v>
      </c>
      <c r="D17" s="184"/>
      <c r="E17" s="131"/>
      <c r="F17" s="185" t="str">
        <f>各種設定!C11</f>
        <v>090-8657-6721</v>
      </c>
      <c r="G17" s="185"/>
      <c r="H17" s="185"/>
      <c r="I17" s="185"/>
    </row>
    <row r="18" spans="1:9" ht="14.25" x14ac:dyDescent="0.15">
      <c r="B18" s="169" t="s">
        <v>14</v>
      </c>
      <c r="C18" s="171">
        <f>I43</f>
        <v>1100</v>
      </c>
      <c r="D18" s="171"/>
      <c r="E18" s="131"/>
      <c r="F18" s="172" t="str">
        <f>各種設定!C12</f>
        <v>hitomi@1103slabo.com</v>
      </c>
      <c r="G18" s="172"/>
      <c r="H18" s="172"/>
      <c r="I18" s="172"/>
    </row>
    <row r="19" spans="1:9" ht="34.5" customHeight="1" x14ac:dyDescent="0.15">
      <c r="B19" s="170"/>
      <c r="C19" s="171"/>
      <c r="D19" s="171"/>
      <c r="E19" s="131"/>
      <c r="F19" s="131"/>
      <c r="G19" s="131"/>
      <c r="H19" s="131"/>
      <c r="I19" s="131"/>
    </row>
    <row r="20" spans="1:9" ht="12.75" customHeight="1" x14ac:dyDescent="0.15">
      <c r="B20" s="17"/>
      <c r="C20" s="17"/>
      <c r="D20" s="17"/>
      <c r="E20" s="131"/>
      <c r="F20" s="131"/>
      <c r="G20" s="131"/>
      <c r="H20" s="131"/>
      <c r="I20" s="131"/>
    </row>
    <row r="21" spans="1:9" ht="13.5" customHeight="1" x14ac:dyDescent="0.15">
      <c r="B21" s="25" t="s">
        <v>0</v>
      </c>
      <c r="C21" s="25"/>
      <c r="D21" s="25"/>
      <c r="E21" s="25"/>
      <c r="F21" s="25"/>
      <c r="G21" s="25"/>
      <c r="H21" s="25"/>
      <c r="I21" s="25"/>
    </row>
    <row r="22" spans="1:9" ht="13.5" customHeight="1" x14ac:dyDescent="0.15">
      <c r="B22" s="25" t="s">
        <v>15</v>
      </c>
      <c r="C22" s="25"/>
      <c r="D22" s="25"/>
      <c r="E22" s="25"/>
      <c r="F22" s="25"/>
      <c r="G22" s="25"/>
      <c r="H22" s="25"/>
      <c r="I22" s="25"/>
    </row>
    <row r="23" spans="1:9" ht="13.5" customHeight="1" x14ac:dyDescent="0.15">
      <c r="B23" s="25"/>
      <c r="C23" s="25"/>
      <c r="D23" s="25"/>
      <c r="E23" s="25"/>
      <c r="F23" s="25"/>
      <c r="G23" s="25"/>
      <c r="H23" s="25"/>
      <c r="I23" s="25"/>
    </row>
    <row r="24" spans="1:9" ht="13.5" customHeight="1" x14ac:dyDescent="0.15">
      <c r="B24" s="25"/>
      <c r="C24" s="25"/>
      <c r="D24" s="25"/>
      <c r="E24" s="25"/>
      <c r="F24" s="25"/>
      <c r="G24" s="25"/>
      <c r="H24" s="25"/>
      <c r="I24" s="25"/>
    </row>
    <row r="25" spans="1:9" ht="13.5" customHeight="1" x14ac:dyDescent="0.15">
      <c r="B25" s="19" t="s">
        <v>1</v>
      </c>
      <c r="C25" s="18"/>
      <c r="D25" s="18"/>
      <c r="E25" s="18"/>
      <c r="F25" s="18"/>
      <c r="G25" s="18"/>
      <c r="H25" s="18"/>
      <c r="I25" s="18"/>
    </row>
    <row r="26" spans="1:9" s="44" customFormat="1" ht="20.25" customHeight="1" x14ac:dyDescent="0.15">
      <c r="A26" s="44" t="s">
        <v>18</v>
      </c>
      <c r="B26" s="173" t="s">
        <v>26</v>
      </c>
      <c r="C26" s="173"/>
      <c r="D26" s="173"/>
      <c r="E26" s="173"/>
      <c r="F26" s="45" t="s">
        <v>2</v>
      </c>
      <c r="G26" s="45" t="s">
        <v>3</v>
      </c>
      <c r="H26" s="46" t="s">
        <v>11</v>
      </c>
      <c r="I26" s="46" t="s">
        <v>4</v>
      </c>
    </row>
    <row r="27" spans="1:9" ht="20.25" customHeight="1" x14ac:dyDescent="0.15">
      <c r="A27" s="1" t="s">
        <v>20</v>
      </c>
      <c r="B27" s="174" t="str">
        <f>IF(ISBLANK($A27),"",VLOOKUP($A27,商品マスタ!$A$2:$E$7,2,FALSE))</f>
        <v>PCトラブル・メール相談</v>
      </c>
      <c r="C27" s="175"/>
      <c r="D27" s="161" t="s">
        <v>127</v>
      </c>
      <c r="E27" s="162"/>
      <c r="F27" s="11">
        <f>IF(ISBLANK($A27),"",VLOOKUP($A27,商品マスタ,5,FALSE))</f>
        <v>1000</v>
      </c>
      <c r="G27" s="87">
        <v>1</v>
      </c>
      <c r="H27" s="47" t="str">
        <f>IF(ISBLANK($A27),"",VLOOKUP($A27,商品マスタ,4,FALSE))</f>
        <v>案件</v>
      </c>
      <c r="I27" s="13">
        <f>IF(G27="","",F27*G27)</f>
        <v>1000</v>
      </c>
    </row>
    <row r="28" spans="1:9" ht="20.25" customHeight="1" x14ac:dyDescent="0.15">
      <c r="B28" s="229"/>
      <c r="C28" s="230"/>
      <c r="D28" s="161" t="str">
        <f>IF(ISBLANK($A28),"",VLOOKUP($A28,商品マスタ!$A$2:$E$7,3,FALSE))</f>
        <v/>
      </c>
      <c r="E28" s="162"/>
      <c r="F28" s="11" t="str">
        <f>IF(ISBLANK($A28),"",VLOOKUP($A28,商品マスタ,5,FALSE))</f>
        <v/>
      </c>
      <c r="G28" s="87"/>
      <c r="H28" s="47" t="str">
        <f>IF(ISBLANK($A28),"",VLOOKUP($A28,商品マスタ,4,FALSE))</f>
        <v/>
      </c>
      <c r="I28" s="13" t="str">
        <f t="shared" ref="I28:I40" si="0">IF(G28="","",F28*G28)</f>
        <v/>
      </c>
    </row>
    <row r="29" spans="1:9" ht="20.25" customHeight="1" x14ac:dyDescent="0.15">
      <c r="B29" s="167" t="str">
        <f>IF(ISBLANK($A29),"",VLOOKUP($A29,商品マスタ!$A$2:$E$7,2,FALSE))</f>
        <v/>
      </c>
      <c r="C29" s="168"/>
      <c r="D29" s="161" t="s">
        <v>128</v>
      </c>
      <c r="E29" s="162"/>
      <c r="F29" s="11" t="str">
        <f>IF(ISBLANK($A29),"",VLOOKUP($A29,商品マスタ,5,FALSE))</f>
        <v/>
      </c>
      <c r="G29" s="87"/>
      <c r="H29" s="47" t="str">
        <f>IF(ISBLANK($A29),"",VLOOKUP($A29,商品マスタ,4,FALSE))</f>
        <v/>
      </c>
      <c r="I29" s="13" t="str">
        <f t="shared" si="0"/>
        <v/>
      </c>
    </row>
    <row r="30" spans="1:9" ht="20.25" customHeight="1" x14ac:dyDescent="0.15">
      <c r="B30" s="167" t="str">
        <f>IF(ISBLANK($A30),"",VLOOKUP($A30,商品マスタ!$A$2:$E$7,2,FALSE))</f>
        <v/>
      </c>
      <c r="C30" s="168"/>
      <c r="D30" s="161" t="s">
        <v>129</v>
      </c>
      <c r="E30" s="162"/>
      <c r="F30" s="11" t="str">
        <f>IF(ISBLANK($A30),"",VLOOKUP($A30,商品マスタ,5,FALSE))</f>
        <v/>
      </c>
      <c r="G30" s="87"/>
      <c r="H30" s="47" t="str">
        <f>IF(ISBLANK($A30),"",VLOOKUP($A30,商品マスタ,4,FALSE))</f>
        <v/>
      </c>
      <c r="I30" s="13" t="str">
        <f t="shared" si="0"/>
        <v/>
      </c>
    </row>
    <row r="31" spans="1:9" ht="20.25" customHeight="1" x14ac:dyDescent="0.15">
      <c r="B31" s="167" t="str">
        <f>IF(ISBLANK($A31),"",VLOOKUP($A31,商品マスタ!$A$2:$E$7,2,FALSE))</f>
        <v/>
      </c>
      <c r="C31" s="168"/>
      <c r="D31" s="161"/>
      <c r="E31" s="162"/>
      <c r="F31" s="11" t="str">
        <f>IF(ISBLANK($A31),"",VLOOKUP($A31,商品マスタ,5,FALSE))</f>
        <v/>
      </c>
      <c r="G31" s="87"/>
      <c r="H31" s="47" t="str">
        <f>IF(ISBLANK($A31),"",VLOOKUP($A31,商品マスタ,4,FALSE))</f>
        <v/>
      </c>
      <c r="I31" s="13" t="str">
        <f t="shared" si="0"/>
        <v/>
      </c>
    </row>
    <row r="32" spans="1:9" ht="20.25" customHeight="1" x14ac:dyDescent="0.15">
      <c r="B32" s="167" t="str">
        <f>IF(ISBLANK($A32),"",VLOOKUP($A32,商品マスタ!$A$2:$E$7,2,FALSE))</f>
        <v/>
      </c>
      <c r="C32" s="168"/>
      <c r="D32" s="161" t="str">
        <f>IF(ISBLANK($A32),"",VLOOKUP($A32,商品マスタ!$A$2:$E$7,3,FALSE))</f>
        <v/>
      </c>
      <c r="E32" s="162"/>
      <c r="F32" s="11" t="str">
        <f>IF(ISBLANK($A32),"",VLOOKUP($A32,商品マスタ!$A$2:$E$7,5,FALSE))</f>
        <v/>
      </c>
      <c r="G32" s="88"/>
      <c r="H32" s="47" t="str">
        <f>IF(ISBLANK($A32),"",VLOOKUP($A32,商品マスタ!$A$2:$E$7,4,FALSE))</f>
        <v/>
      </c>
      <c r="I32" s="13" t="str">
        <f t="shared" si="0"/>
        <v/>
      </c>
    </row>
    <row r="33" spans="2:9" ht="20.25" customHeight="1" x14ac:dyDescent="0.15">
      <c r="B33" s="159" t="str">
        <f>IF(ISBLANK($A33),"",VLOOKUP($A33,商品マスタ!$A$2:$E$7,2,FALSE))</f>
        <v/>
      </c>
      <c r="C33" s="160"/>
      <c r="D33" s="161" t="str">
        <f>IF(ISBLANK($A33),"",VLOOKUP($A33,商品マスタ!$A$2:$E$7,3,FALSE))</f>
        <v/>
      </c>
      <c r="E33" s="162"/>
      <c r="F33" s="11" t="str">
        <f>IF(ISBLANK($A33),"",VLOOKUP($A33,商品マスタ!$A$2:$E$7,5,FALSE))</f>
        <v/>
      </c>
      <c r="G33" s="88"/>
      <c r="H33" s="47" t="str">
        <f>IF(ISBLANK($A33),"",VLOOKUP($A33,商品マスタ!$A$2:$E$7,4,FALSE))</f>
        <v/>
      </c>
      <c r="I33" s="13" t="str">
        <f t="shared" si="0"/>
        <v/>
      </c>
    </row>
    <row r="34" spans="2:9" ht="20.25" customHeight="1" x14ac:dyDescent="0.15">
      <c r="B34" s="159" t="str">
        <f>IF(ISBLANK($A34),"",VLOOKUP($A34,商品マスタ!$A$2:$E$7,2,FALSE))</f>
        <v/>
      </c>
      <c r="C34" s="160"/>
      <c r="D34" s="161" t="str">
        <f>IF(ISBLANK($A34),"",VLOOKUP($A34,商品マスタ!$A$2:$E$7,3,FALSE))</f>
        <v/>
      </c>
      <c r="E34" s="162"/>
      <c r="F34" s="11" t="str">
        <f>IF(ISBLANK($A34),"",VLOOKUP($A34,商品マスタ!$A$2:$E$7,5,FALSE))</f>
        <v/>
      </c>
      <c r="G34" s="88"/>
      <c r="H34" s="47" t="str">
        <f>IF(ISBLANK($A34),"",VLOOKUP($A34,商品マスタ!$A$2:$E$7,4,FALSE))</f>
        <v/>
      </c>
      <c r="I34" s="13" t="str">
        <f t="shared" si="0"/>
        <v/>
      </c>
    </row>
    <row r="35" spans="2:9" ht="20.25" customHeight="1" x14ac:dyDescent="0.15">
      <c r="B35" s="163" t="str">
        <f>IF(ISBLANK($A35),"",VLOOKUP($A35,商品マスタ!$A$2:$E$7,2,FALSE))</f>
        <v/>
      </c>
      <c r="C35" s="164"/>
      <c r="D35" s="165" t="str">
        <f>IF(ISBLANK($A35),"",VLOOKUP($A35,商品マスタ!$A$2:$E$7,3,FALSE))</f>
        <v/>
      </c>
      <c r="E35" s="166"/>
      <c r="F35" s="11" t="str">
        <f>IF(ISBLANK($A35),"",VLOOKUP($A35,商品マスタ!$A$2:$E$7,5,FALSE))</f>
        <v/>
      </c>
      <c r="G35" s="88"/>
      <c r="H35" s="47" t="str">
        <f>IF(ISBLANK($A35),"",VLOOKUP($A35,商品マスタ!$A$2:$E$7,4,FALSE))</f>
        <v/>
      </c>
      <c r="I35" s="13" t="str">
        <f t="shared" si="0"/>
        <v/>
      </c>
    </row>
    <row r="36" spans="2:9" ht="20.25" customHeight="1" x14ac:dyDescent="0.15">
      <c r="B36" s="163" t="str">
        <f>IF(ISBLANK($A36),"",VLOOKUP($A36,商品マスタ!$A$2:$E$7,2,FALSE))</f>
        <v/>
      </c>
      <c r="C36" s="164"/>
      <c r="D36" s="165" t="str">
        <f>IF(ISBLANK($A36),"",VLOOKUP($A36,商品マスタ!$A$2:$E$7,3,FALSE))</f>
        <v/>
      </c>
      <c r="E36" s="166"/>
      <c r="F36" s="11" t="str">
        <f>IF(ISBLANK($A36),"",VLOOKUP($A36,商品マスタ!$A$2:$E$7,5,FALSE))</f>
        <v/>
      </c>
      <c r="G36" s="88"/>
      <c r="H36" s="47" t="str">
        <f>IF(ISBLANK($A36),"",VLOOKUP($A36,商品マスタ!$A$2:$E$7,4,FALSE))</f>
        <v/>
      </c>
      <c r="I36" s="13" t="str">
        <f t="shared" si="0"/>
        <v/>
      </c>
    </row>
    <row r="37" spans="2:9" ht="20.25" customHeight="1" x14ac:dyDescent="0.15">
      <c r="B37" s="159" t="str">
        <f>IF(ISBLANK($A37),"",VLOOKUP($A37,商品マスタ!$A$2:$E$7,2,FALSE))</f>
        <v/>
      </c>
      <c r="C37" s="160"/>
      <c r="D37" s="161" t="str">
        <f>IF(ISBLANK($A37),"",VLOOKUP($A37,商品マスタ!$A$2:$E$7,3,FALSE))</f>
        <v/>
      </c>
      <c r="E37" s="162"/>
      <c r="F37" s="11" t="str">
        <f>IF(ISBLANK($A37),"",VLOOKUP($A37,商品マスタ!$A$2:$E$7,5,FALSE))</f>
        <v/>
      </c>
      <c r="G37" s="88"/>
      <c r="H37" s="47" t="str">
        <f>IF(ISBLANK($A37),"",VLOOKUP($A37,商品マスタ!$A$2:$E$7,4,FALSE))</f>
        <v/>
      </c>
      <c r="I37" s="13" t="str">
        <f t="shared" si="0"/>
        <v/>
      </c>
    </row>
    <row r="38" spans="2:9" ht="20.25" customHeight="1" x14ac:dyDescent="0.15">
      <c r="B38" s="159" t="str">
        <f>IF(ISBLANK($A38),"",VLOOKUP($A38,商品マスタ!$A$2:$E$7,2,FALSE))</f>
        <v/>
      </c>
      <c r="C38" s="160"/>
      <c r="D38" s="161" t="str">
        <f>IF(ISBLANK($A38),"",VLOOKUP($A38,商品マスタ!$A$2:$E$7,3,FALSE))</f>
        <v/>
      </c>
      <c r="E38" s="162"/>
      <c r="F38" s="11" t="str">
        <f>IF(ISBLANK($A38),"",VLOOKUP($A38,商品マスタ!$A$2:$E$7,5,FALSE))</f>
        <v/>
      </c>
      <c r="G38" s="89"/>
      <c r="H38" s="47" t="str">
        <f>IF(ISBLANK($A38),"",VLOOKUP($A38,商品マスタ!$A$2:$E$7,4,FALSE))</f>
        <v/>
      </c>
      <c r="I38" s="13" t="str">
        <f t="shared" si="0"/>
        <v/>
      </c>
    </row>
    <row r="39" spans="2:9" ht="20.25" customHeight="1" x14ac:dyDescent="0.15">
      <c r="B39" s="159" t="str">
        <f>IF(ISBLANK($A39),"",VLOOKUP($A39,商品マスタ!$A$2:$E$7,2,FALSE))</f>
        <v/>
      </c>
      <c r="C39" s="160"/>
      <c r="D39" s="161" t="str">
        <f>IF(ISBLANK($A39),"",VLOOKUP($A39,商品マスタ!$A$2:$E$7,3,FALSE))</f>
        <v/>
      </c>
      <c r="E39" s="162"/>
      <c r="F39" s="11" t="str">
        <f>IF(ISBLANK($A39),"",VLOOKUP($A39,商品マスタ!$A$2:$E$7,5,FALSE))</f>
        <v/>
      </c>
      <c r="G39" s="89"/>
      <c r="H39" s="47" t="str">
        <f>IF(ISBLANK($A39),"",VLOOKUP($A39,商品マスタ!$A$2:$E$7,4,FALSE))</f>
        <v/>
      </c>
      <c r="I39" s="13" t="str">
        <f t="shared" si="0"/>
        <v/>
      </c>
    </row>
    <row r="40" spans="2:9" ht="20.25" customHeight="1" x14ac:dyDescent="0.15">
      <c r="B40" s="151" t="str">
        <f>IF(ISBLANK($A40),"",VLOOKUP($A40,商品マスタ!$A$2:$E$7,2,FALSE))</f>
        <v/>
      </c>
      <c r="C40" s="152"/>
      <c r="D40" s="153" t="str">
        <f>IF(ISBLANK($A40),"",VLOOKUP($A40,商品マスタ!$A$2:$E$7,3,FALSE))</f>
        <v/>
      </c>
      <c r="E40" s="154"/>
      <c r="F40" s="11" t="str">
        <f>IF(ISBLANK($A40),"",VLOOKUP($A40,商品マスタ!$A$2:$E$7,5,FALSE))</f>
        <v/>
      </c>
      <c r="G40" s="90"/>
      <c r="H40" s="47" t="str">
        <f>IF(ISBLANK($A40),"",VLOOKUP($A40,商品マスタ!$A$2:$E$7,4,FALSE))</f>
        <v/>
      </c>
      <c r="I40" s="58" t="str">
        <f t="shared" si="0"/>
        <v/>
      </c>
    </row>
    <row r="41" spans="2:9" ht="18.75" customHeight="1" x14ac:dyDescent="0.15">
      <c r="F41" s="155" t="s">
        <v>5</v>
      </c>
      <c r="G41" s="155"/>
      <c r="H41" s="155"/>
      <c r="I41" s="50">
        <f>SUM(I27:I40)</f>
        <v>1000</v>
      </c>
    </row>
    <row r="42" spans="2:9" ht="18.75" customHeight="1" x14ac:dyDescent="0.15">
      <c r="F42" s="156" t="s">
        <v>6</v>
      </c>
      <c r="G42" s="156"/>
      <c r="H42" s="156"/>
      <c r="I42" s="50">
        <f>I41*各種設定!C2</f>
        <v>100</v>
      </c>
    </row>
    <row r="43" spans="2:9" ht="18.75" customHeight="1" thickBot="1" x14ac:dyDescent="0.2">
      <c r="F43" s="157" t="s">
        <v>7</v>
      </c>
      <c r="G43" s="157"/>
      <c r="H43" s="157"/>
      <c r="I43" s="51">
        <f>SUM(I41:I42)</f>
        <v>1100</v>
      </c>
    </row>
    <row r="44" spans="2:9" ht="13.5" customHeight="1" thickTop="1" x14ac:dyDescent="0.15"/>
    <row r="45" spans="2:9" ht="13.5" customHeight="1" x14ac:dyDescent="0.15">
      <c r="B45" s="19" t="s">
        <v>8</v>
      </c>
      <c r="C45" s="6"/>
      <c r="D45" s="6"/>
      <c r="E45" s="6"/>
      <c r="F45" s="6"/>
      <c r="G45" s="6"/>
      <c r="H45" s="6"/>
      <c r="I45" s="6"/>
    </row>
    <row r="46" spans="2:9" ht="4.5" customHeight="1" x14ac:dyDescent="0.15">
      <c r="B46" s="20"/>
      <c r="C46" s="7"/>
      <c r="D46" s="7"/>
      <c r="E46" s="7"/>
      <c r="F46" s="7"/>
    </row>
    <row r="47" spans="2:9" ht="13.5" customHeight="1" x14ac:dyDescent="0.15">
      <c r="B47" s="17"/>
    </row>
    <row r="48" spans="2:9" ht="13.5" customHeight="1" x14ac:dyDescent="0.15">
      <c r="B48" s="17"/>
    </row>
    <row r="49" spans="2:9" ht="13.5" customHeight="1" x14ac:dyDescent="0.15">
      <c r="B49" s="17"/>
    </row>
    <row r="50" spans="2:9" ht="13.5" customHeight="1" x14ac:dyDescent="0.15">
      <c r="B50" s="17"/>
    </row>
    <row r="51" spans="2:9" ht="13.5" customHeight="1" x14ac:dyDescent="0.15">
      <c r="B51" s="17"/>
    </row>
    <row r="52" spans="2:9" ht="13.5" customHeight="1" x14ac:dyDescent="0.15">
      <c r="B52" s="17"/>
    </row>
    <row r="53" spans="2:9" ht="13.5" customHeight="1" x14ac:dyDescent="0.15">
      <c r="B53" s="158"/>
      <c r="C53" s="158"/>
      <c r="D53" s="158"/>
      <c r="E53" s="158"/>
      <c r="F53" s="158"/>
      <c r="G53" s="158"/>
      <c r="H53" s="158"/>
      <c r="I53" s="158"/>
    </row>
  </sheetData>
  <mergeCells count="57">
    <mergeCell ref="B53:I53"/>
    <mergeCell ref="B37:C37"/>
    <mergeCell ref="D37:E37"/>
    <mergeCell ref="B38:C38"/>
    <mergeCell ref="D38:E38"/>
    <mergeCell ref="B39:C39"/>
    <mergeCell ref="D39:E39"/>
    <mergeCell ref="B40:C40"/>
    <mergeCell ref="D40:E40"/>
    <mergeCell ref="F41:H41"/>
    <mergeCell ref="F42:H42"/>
    <mergeCell ref="F43:H43"/>
    <mergeCell ref="B34:C34"/>
    <mergeCell ref="D34:E34"/>
    <mergeCell ref="B35:C35"/>
    <mergeCell ref="D35:E35"/>
    <mergeCell ref="B36:C36"/>
    <mergeCell ref="D36:E36"/>
    <mergeCell ref="B31:C31"/>
    <mergeCell ref="D31:E31"/>
    <mergeCell ref="B32:C32"/>
    <mergeCell ref="D32:E32"/>
    <mergeCell ref="B33:C33"/>
    <mergeCell ref="D33:E33"/>
    <mergeCell ref="B28:C28"/>
    <mergeCell ref="D28:E28"/>
    <mergeCell ref="B29:C29"/>
    <mergeCell ref="D29:E29"/>
    <mergeCell ref="B30:C30"/>
    <mergeCell ref="D30:E30"/>
    <mergeCell ref="B18:B19"/>
    <mergeCell ref="C18:D19"/>
    <mergeCell ref="F18:I18"/>
    <mergeCell ref="B26:E26"/>
    <mergeCell ref="B27:C27"/>
    <mergeCell ref="D27:E27"/>
    <mergeCell ref="C14:D14"/>
    <mergeCell ref="F14:I14"/>
    <mergeCell ref="B15:B17"/>
    <mergeCell ref="C15:D15"/>
    <mergeCell ref="F15:I16"/>
    <mergeCell ref="C16:D16"/>
    <mergeCell ref="C17:D17"/>
    <mergeCell ref="F17:I17"/>
    <mergeCell ref="C13:D13"/>
    <mergeCell ref="F13:I13"/>
    <mergeCell ref="B2:I2"/>
    <mergeCell ref="B3:I3"/>
    <mergeCell ref="F4:I4"/>
    <mergeCell ref="B5:D6"/>
    <mergeCell ref="F5:I5"/>
    <mergeCell ref="F6:I6"/>
    <mergeCell ref="B7:D8"/>
    <mergeCell ref="F7:I7"/>
    <mergeCell ref="E8:E10"/>
    <mergeCell ref="F8:I8"/>
    <mergeCell ref="B10:D10"/>
  </mergeCells>
  <phoneticPr fontId="4"/>
  <conditionalFormatting sqref="B27 D27 D31:D40 F27:I40 B29:B40">
    <cfRule type="expression" dxfId="38" priority="6">
      <formula>MOD(ROW(),2)=1</formula>
    </cfRule>
  </conditionalFormatting>
  <conditionalFormatting sqref="B28">
    <cfRule type="expression" dxfId="37" priority="5">
      <formula>MOD(ROW(),2)=1</formula>
    </cfRule>
  </conditionalFormatting>
  <conditionalFormatting sqref="D28">
    <cfRule type="expression" dxfId="36" priority="4">
      <formula>MOD(ROW(),2)=1</formula>
    </cfRule>
  </conditionalFormatting>
  <conditionalFormatting sqref="D29">
    <cfRule type="expression" dxfId="35" priority="3">
      <formula>MOD(ROW(),2)=1</formula>
    </cfRule>
  </conditionalFormatting>
  <conditionalFormatting sqref="D30">
    <cfRule type="expression" dxfId="34" priority="2">
      <formula>MOD(ROW(),2)=1</formula>
    </cfRule>
  </conditionalFormatting>
  <printOptions horizontalCentered="1"/>
  <pageMargins left="0.94488188976377963" right="0.47244094488188981" top="0.59055118110236227" bottom="0.59055118110236227" header="0.31496062992125984" footer="0.19685039370078741"/>
  <pageSetup paperSize="9" scale="93" orientation="portrait" horizontalDpi="4294967293"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D8AF65-0DFD-41C8-A3C9-1F5E33F8C27F}">
  <sheetPr codeName="Sheet11">
    <pageSetUpPr fitToPage="1"/>
  </sheetPr>
  <dimension ref="A2:I53"/>
  <sheetViews>
    <sheetView showGridLines="0" view="pageBreakPreview" topLeftCell="A13" zoomScaleNormal="100" zoomScaleSheetLayoutView="100" workbookViewId="0">
      <selection activeCell="P3" sqref="P3"/>
    </sheetView>
  </sheetViews>
  <sheetFormatPr defaultColWidth="3.125" defaultRowHeight="13.5" customHeight="1" x14ac:dyDescent="0.15"/>
  <cols>
    <col min="1" max="1" width="7.625" style="1" customWidth="1"/>
    <col min="2" max="2" width="13.875" style="1" customWidth="1"/>
    <col min="3" max="3" width="9.375" style="1" customWidth="1"/>
    <col min="4" max="4" width="19.5" style="1" customWidth="1"/>
    <col min="5" max="5" width="16.75" style="1" customWidth="1"/>
    <col min="6" max="6" width="11.125" style="1" customWidth="1"/>
    <col min="7" max="7" width="6.625" style="1" customWidth="1"/>
    <col min="8" max="8" width="6.125" style="1" customWidth="1"/>
    <col min="9" max="9" width="12.25" style="1" customWidth="1"/>
    <col min="10" max="16384" width="3.125" style="1"/>
  </cols>
  <sheetData>
    <row r="2" spans="2:9" ht="13.5" customHeight="1" x14ac:dyDescent="0.15">
      <c r="B2" s="158"/>
      <c r="C2" s="158"/>
      <c r="D2" s="158"/>
      <c r="E2" s="158"/>
      <c r="F2" s="158"/>
      <c r="G2" s="158"/>
      <c r="H2" s="158"/>
      <c r="I2" s="158"/>
    </row>
    <row r="3" spans="2:9" s="2" customFormat="1" ht="36.75" customHeight="1" x14ac:dyDescent="0.55000000000000004">
      <c r="B3" s="192" t="s">
        <v>22</v>
      </c>
      <c r="C3" s="192"/>
      <c r="D3" s="192"/>
      <c r="E3" s="192"/>
      <c r="F3" s="192"/>
      <c r="G3" s="192"/>
      <c r="H3" s="192"/>
      <c r="I3" s="192"/>
    </row>
    <row r="4" spans="2:9" ht="15" customHeight="1" x14ac:dyDescent="0.15">
      <c r="F4" s="193"/>
      <c r="G4" s="193"/>
      <c r="H4" s="193"/>
      <c r="I4" s="193"/>
    </row>
    <row r="5" spans="2:9" ht="13.5" customHeight="1" x14ac:dyDescent="0.15">
      <c r="B5" s="194" t="str">
        <f>VLOOKUP(F5,請求書履歴!$A$2:$E$40,3,FALSE)</f>
        <v>女性共同法律事務所</v>
      </c>
      <c r="C5" s="194"/>
      <c r="D5" s="194"/>
      <c r="E5" s="127"/>
      <c r="F5" s="195">
        <v>20200009</v>
      </c>
      <c r="G5" s="195"/>
      <c r="H5" s="195"/>
      <c r="I5" s="195"/>
    </row>
    <row r="6" spans="2:9" ht="13.5" customHeight="1" x14ac:dyDescent="0.15">
      <c r="B6" s="194"/>
      <c r="C6" s="194"/>
      <c r="D6" s="194"/>
      <c r="F6" s="196">
        <v>44135</v>
      </c>
      <c r="G6" s="196"/>
      <c r="H6" s="196"/>
      <c r="I6" s="196"/>
    </row>
    <row r="7" spans="2:9" ht="13.5" customHeight="1" x14ac:dyDescent="0.15">
      <c r="B7" s="186" t="str">
        <f>VLOOKUP(F5,請求書履歴!$A$2:$E$40,4,FALSE)&amp; " " &amp; VLOOKUP(F5,請求書履歴!$A$2:$E$40,5,FALSE)</f>
        <v>宮地 様</v>
      </c>
      <c r="C7" s="186"/>
      <c r="D7" s="186"/>
      <c r="F7" s="187"/>
      <c r="G7" s="187"/>
      <c r="H7" s="187"/>
      <c r="I7" s="187"/>
    </row>
    <row r="8" spans="2:9" ht="13.5" customHeight="1" x14ac:dyDescent="0.15">
      <c r="B8" s="186"/>
      <c r="C8" s="186"/>
      <c r="D8" s="186"/>
      <c r="E8" s="188"/>
      <c r="F8" s="177"/>
      <c r="G8" s="177"/>
      <c r="H8" s="177"/>
      <c r="I8" s="177"/>
    </row>
    <row r="9" spans="2:9" ht="13.5" customHeight="1" x14ac:dyDescent="0.15">
      <c r="B9" s="125"/>
      <c r="C9" s="125"/>
      <c r="D9" s="125"/>
      <c r="E9" s="188"/>
      <c r="F9" s="124"/>
      <c r="G9" s="124"/>
      <c r="H9" s="124"/>
      <c r="I9" s="124"/>
    </row>
    <row r="10" spans="2:9" ht="13.5" customHeight="1" x14ac:dyDescent="0.15">
      <c r="B10" s="189"/>
      <c r="C10" s="189"/>
      <c r="D10" s="189"/>
      <c r="E10" s="188"/>
      <c r="F10" s="126"/>
      <c r="G10" s="126"/>
      <c r="H10" s="126"/>
      <c r="I10" s="126"/>
    </row>
    <row r="11" spans="2:9" ht="13.5" customHeight="1" x14ac:dyDescent="0.15">
      <c r="B11" s="28" t="s">
        <v>23</v>
      </c>
      <c r="C11" s="17"/>
      <c r="D11" s="128"/>
      <c r="E11" s="4"/>
      <c r="F11" s="29"/>
      <c r="G11" s="126"/>
      <c r="H11" s="126"/>
      <c r="I11" s="30"/>
    </row>
    <row r="12" spans="2:9" ht="13.5" customHeight="1" x14ac:dyDescent="0.15">
      <c r="B12" s="52"/>
      <c r="C12" s="52"/>
      <c r="D12" s="52"/>
      <c r="E12" s="4"/>
      <c r="F12" s="31"/>
      <c r="G12" s="31"/>
      <c r="H12" s="31"/>
      <c r="I12" s="31"/>
    </row>
    <row r="13" spans="2:9" ht="21" customHeight="1" x14ac:dyDescent="0.4">
      <c r="B13" s="43" t="s">
        <v>12</v>
      </c>
      <c r="C13" s="190" t="s">
        <v>123</v>
      </c>
      <c r="D13" s="190"/>
      <c r="E13" s="4"/>
      <c r="F13" s="191">
        <f>各種設定!C6</f>
        <v>6390223</v>
      </c>
      <c r="G13" s="191"/>
      <c r="H13" s="191"/>
      <c r="I13" s="191"/>
    </row>
    <row r="14" spans="2:9" ht="21" customHeight="1" x14ac:dyDescent="0.4">
      <c r="B14" s="43" t="s">
        <v>25</v>
      </c>
      <c r="C14" s="176">
        <f>EDATE(F6,1)</f>
        <v>44165</v>
      </c>
      <c r="D14" s="176"/>
      <c r="E14" s="4"/>
      <c r="F14" s="177" t="str">
        <f>各種設定!C7</f>
        <v>奈良県香芝市真美ヶ丘7-1-2</v>
      </c>
      <c r="G14" s="177"/>
      <c r="H14" s="177"/>
      <c r="I14" s="177"/>
    </row>
    <row r="15" spans="2:9" ht="19.5" customHeight="1" x14ac:dyDescent="0.4">
      <c r="B15" s="178" t="s">
        <v>13</v>
      </c>
      <c r="C15" s="181" t="str">
        <f>各種設定!C15&amp;" 　"&amp;各種設定!C16</f>
        <v>りそな 銀行 　香芝 支店</v>
      </c>
      <c r="D15" s="181"/>
      <c r="E15" s="127"/>
      <c r="F15" s="182" t="str">
        <f>各種設定!C10</f>
        <v>松田　ひとみ</v>
      </c>
      <c r="G15" s="182"/>
      <c r="H15" s="182"/>
      <c r="I15" s="182"/>
    </row>
    <row r="16" spans="2:9" ht="16.5" x14ac:dyDescent="0.4">
      <c r="B16" s="179"/>
      <c r="C16" s="183" t="str">
        <f>各種設定!C17</f>
        <v>普通　6275173</v>
      </c>
      <c r="D16" s="183"/>
      <c r="F16" s="182"/>
      <c r="G16" s="182"/>
      <c r="H16" s="182"/>
      <c r="I16" s="182"/>
    </row>
    <row r="17" spans="1:9" ht="16.5" customHeight="1" x14ac:dyDescent="0.4">
      <c r="B17" s="180"/>
      <c r="C17" s="184" t="str">
        <f>各種設定!C18</f>
        <v>マツダ　ヒトミ</v>
      </c>
      <c r="D17" s="184"/>
      <c r="E17" s="127"/>
      <c r="F17" s="185" t="str">
        <f>各種設定!C11</f>
        <v>090-8657-6721</v>
      </c>
      <c r="G17" s="185"/>
      <c r="H17" s="185"/>
      <c r="I17" s="185"/>
    </row>
    <row r="18" spans="1:9" ht="14.25" x14ac:dyDescent="0.15">
      <c r="B18" s="169" t="s">
        <v>14</v>
      </c>
      <c r="C18" s="171">
        <f>I43</f>
        <v>8800</v>
      </c>
      <c r="D18" s="171"/>
      <c r="E18" s="127"/>
      <c r="F18" s="172" t="str">
        <f>各種設定!C12</f>
        <v>hitomi@1103slabo.com</v>
      </c>
      <c r="G18" s="172"/>
      <c r="H18" s="172"/>
      <c r="I18" s="172"/>
    </row>
    <row r="19" spans="1:9" ht="34.5" customHeight="1" x14ac:dyDescent="0.15">
      <c r="B19" s="170"/>
      <c r="C19" s="171"/>
      <c r="D19" s="171"/>
      <c r="E19" s="127"/>
      <c r="F19" s="127"/>
      <c r="G19" s="127"/>
      <c r="H19" s="127"/>
      <c r="I19" s="127"/>
    </row>
    <row r="20" spans="1:9" ht="12.75" customHeight="1" x14ac:dyDescent="0.15">
      <c r="B20" s="17"/>
      <c r="C20" s="17"/>
      <c r="D20" s="17"/>
      <c r="E20" s="127"/>
      <c r="F20" s="127"/>
      <c r="G20" s="127"/>
      <c r="H20" s="127"/>
      <c r="I20" s="127"/>
    </row>
    <row r="21" spans="1:9" ht="13.5" customHeight="1" x14ac:dyDescent="0.15">
      <c r="B21" s="25" t="s">
        <v>0</v>
      </c>
      <c r="C21" s="25"/>
      <c r="D21" s="25"/>
      <c r="E21" s="25"/>
      <c r="F21" s="25"/>
      <c r="G21" s="25"/>
      <c r="H21" s="25"/>
      <c r="I21" s="25"/>
    </row>
    <row r="22" spans="1:9" ht="13.5" customHeight="1" x14ac:dyDescent="0.15">
      <c r="B22" s="25" t="s">
        <v>15</v>
      </c>
      <c r="C22" s="25"/>
      <c r="D22" s="25"/>
      <c r="E22" s="25"/>
      <c r="F22" s="25"/>
      <c r="G22" s="25"/>
      <c r="H22" s="25"/>
      <c r="I22" s="25"/>
    </row>
    <row r="23" spans="1:9" ht="13.5" customHeight="1" x14ac:dyDescent="0.15">
      <c r="B23" s="25"/>
      <c r="C23" s="25"/>
      <c r="D23" s="25"/>
      <c r="E23" s="25"/>
      <c r="F23" s="25"/>
      <c r="G23" s="25"/>
      <c r="H23" s="25"/>
      <c r="I23" s="25"/>
    </row>
    <row r="24" spans="1:9" ht="13.5" customHeight="1" x14ac:dyDescent="0.15">
      <c r="B24" s="25"/>
      <c r="C24" s="25"/>
      <c r="D24" s="25"/>
      <c r="E24" s="25"/>
      <c r="F24" s="25"/>
      <c r="G24" s="25"/>
      <c r="H24" s="25"/>
      <c r="I24" s="25"/>
    </row>
    <row r="25" spans="1:9" ht="13.5" customHeight="1" x14ac:dyDescent="0.15">
      <c r="B25" s="19" t="s">
        <v>1</v>
      </c>
      <c r="C25" s="18"/>
      <c r="D25" s="18"/>
      <c r="E25" s="18"/>
      <c r="F25" s="18"/>
      <c r="G25" s="18"/>
      <c r="H25" s="18"/>
      <c r="I25" s="18"/>
    </row>
    <row r="26" spans="1:9" s="44" customFormat="1" ht="20.25" customHeight="1" x14ac:dyDescent="0.15">
      <c r="A26" s="44" t="s">
        <v>18</v>
      </c>
      <c r="B26" s="173" t="s">
        <v>26</v>
      </c>
      <c r="C26" s="173"/>
      <c r="D26" s="173"/>
      <c r="E26" s="173"/>
      <c r="F26" s="45" t="s">
        <v>2</v>
      </c>
      <c r="G26" s="45" t="s">
        <v>3</v>
      </c>
      <c r="H26" s="46" t="s">
        <v>11</v>
      </c>
      <c r="I26" s="46" t="s">
        <v>4</v>
      </c>
    </row>
    <row r="27" spans="1:9" ht="20.25" customHeight="1" x14ac:dyDescent="0.15">
      <c r="A27" s="1" t="s">
        <v>20</v>
      </c>
      <c r="B27" s="174" t="str">
        <f>IF(ISBLANK($A27),"",VLOOKUP($A27,商品マスタ!$A$2:$E$7,2,FALSE))</f>
        <v>PCトラブル・メール相談</v>
      </c>
      <c r="C27" s="175"/>
      <c r="D27" s="161" t="s">
        <v>124</v>
      </c>
      <c r="E27" s="162"/>
      <c r="F27" s="11">
        <f>IF(ISBLANK($A27),"",VLOOKUP($A27,商品マスタ,5,FALSE))</f>
        <v>1000</v>
      </c>
      <c r="G27" s="87">
        <v>1</v>
      </c>
      <c r="H27" s="47" t="str">
        <f>IF(ISBLANK($A27),"",VLOOKUP($A27,商品マスタ,4,FALSE))</f>
        <v>案件</v>
      </c>
      <c r="I27" s="13">
        <f>IF(G27="","",F27*G27)</f>
        <v>1000</v>
      </c>
    </row>
    <row r="28" spans="1:9" ht="20.25" customHeight="1" x14ac:dyDescent="0.15">
      <c r="A28" s="1" t="s">
        <v>29</v>
      </c>
      <c r="B28" s="229" t="s">
        <v>113</v>
      </c>
      <c r="C28" s="230"/>
      <c r="D28" s="161" t="str">
        <f>IF(ISBLANK($A28),"",VLOOKUP($A28,商品マスタ!$A$2:$E$7,3,FALSE))</f>
        <v>メール内容調査、原因対応資料作成</v>
      </c>
      <c r="E28" s="162"/>
      <c r="F28" s="11">
        <f>IF(ISBLANK($A28),"",VLOOKUP($A28,商品マスタ,5,FALSE))</f>
        <v>2000</v>
      </c>
      <c r="G28" s="87">
        <v>1</v>
      </c>
      <c r="H28" s="47" t="str">
        <f>IF(ISBLANK($A28),"",VLOOKUP($A28,商品マスタ,4,FALSE))</f>
        <v>時間</v>
      </c>
      <c r="I28" s="13">
        <f t="shared" ref="I28:I40" si="0">IF(G28="","",F28*G28)</f>
        <v>2000</v>
      </c>
    </row>
    <row r="29" spans="1:9" ht="20.25" customHeight="1" x14ac:dyDescent="0.15">
      <c r="A29" s="1" t="s">
        <v>20</v>
      </c>
      <c r="B29" s="167" t="str">
        <f>IF(ISBLANK($A29),"",VLOOKUP($A29,商品マスタ!$A$2:$E$7,2,FALSE))</f>
        <v>PCトラブル・メール相談</v>
      </c>
      <c r="C29" s="168"/>
      <c r="D29" s="161" t="s">
        <v>125</v>
      </c>
      <c r="E29" s="162"/>
      <c r="F29" s="11">
        <f>IF(ISBLANK($A29),"",VLOOKUP($A29,商品マスタ,5,FALSE))</f>
        <v>1000</v>
      </c>
      <c r="G29" s="87">
        <v>1</v>
      </c>
      <c r="H29" s="47" t="str">
        <f>IF(ISBLANK($A29),"",VLOOKUP($A29,商品マスタ,4,FALSE))</f>
        <v>案件</v>
      </c>
      <c r="I29" s="13">
        <f t="shared" si="0"/>
        <v>1000</v>
      </c>
    </row>
    <row r="30" spans="1:9" ht="20.25" customHeight="1" x14ac:dyDescent="0.15">
      <c r="A30" s="1" t="s">
        <v>29</v>
      </c>
      <c r="B30" s="229" t="s">
        <v>113</v>
      </c>
      <c r="C30" s="230"/>
      <c r="D30" s="161" t="str">
        <f>IF(ISBLANK($A30),"",VLOOKUP($A30,商品マスタ!$A$2:$E$7,3,FALSE))</f>
        <v>メール内容調査、原因対応資料作成</v>
      </c>
      <c r="E30" s="162"/>
      <c r="F30" s="11">
        <f>IF(ISBLANK($A30),"",VLOOKUP($A30,商品マスタ,5,FALSE))</f>
        <v>2000</v>
      </c>
      <c r="G30" s="87">
        <v>2</v>
      </c>
      <c r="H30" s="47" t="str">
        <f>IF(ISBLANK($A30),"",VLOOKUP($A30,商品マスタ,4,FALSE))</f>
        <v>時間</v>
      </c>
      <c r="I30" s="13">
        <f t="shared" si="0"/>
        <v>4000</v>
      </c>
    </row>
    <row r="31" spans="1:9" ht="20.25" customHeight="1" x14ac:dyDescent="0.15">
      <c r="B31" s="167" t="str">
        <f>IF(ISBLANK($A31),"",VLOOKUP($A31,商品マスタ,2,FALSE))</f>
        <v/>
      </c>
      <c r="C31" s="168"/>
      <c r="D31" s="161"/>
      <c r="E31" s="162"/>
      <c r="F31" s="11" t="str">
        <f>IF(ISBLANK($A31),"",VLOOKUP($A31,商品マスタ,5,FALSE))</f>
        <v/>
      </c>
      <c r="G31" s="87"/>
      <c r="H31" s="47" t="str">
        <f>IF(ISBLANK($A31),"",VLOOKUP($A31,商品マスタ,4,FALSE))</f>
        <v/>
      </c>
      <c r="I31" s="13" t="str">
        <f t="shared" si="0"/>
        <v/>
      </c>
    </row>
    <row r="32" spans="1:9" ht="20.25" customHeight="1" x14ac:dyDescent="0.15">
      <c r="B32" s="159" t="str">
        <f>IF(ISBLANK($A32),"",VLOOKUP($A32,商品マスタ!$A$2:$E$7,2,FALSE))</f>
        <v/>
      </c>
      <c r="C32" s="160"/>
      <c r="D32" s="161" t="str">
        <f>IF(ISBLANK($A32),"",VLOOKUP($A32,商品マスタ!$A$2:$E$7,3,FALSE))</f>
        <v/>
      </c>
      <c r="E32" s="162"/>
      <c r="F32" s="11" t="str">
        <f>IF(ISBLANK($A32),"",VLOOKUP($A32,商品マスタ!$A$2:$E$7,5,FALSE))</f>
        <v/>
      </c>
      <c r="G32" s="88"/>
      <c r="H32" s="47" t="str">
        <f>IF(ISBLANK($A32),"",VLOOKUP($A32,商品マスタ!$A$2:$E$7,4,FALSE))</f>
        <v/>
      </c>
      <c r="I32" s="13" t="str">
        <f t="shared" si="0"/>
        <v/>
      </c>
    </row>
    <row r="33" spans="2:9" ht="20.25" customHeight="1" x14ac:dyDescent="0.15">
      <c r="B33" s="159" t="str">
        <f>IF(ISBLANK($A33),"",VLOOKUP($A33,商品マスタ!$A$2:$E$7,2,FALSE))</f>
        <v/>
      </c>
      <c r="C33" s="160"/>
      <c r="D33" s="161" t="str">
        <f>IF(ISBLANK($A33),"",VLOOKUP($A33,商品マスタ!$A$2:$E$7,3,FALSE))</f>
        <v/>
      </c>
      <c r="E33" s="162"/>
      <c r="F33" s="11" t="str">
        <f>IF(ISBLANK($A33),"",VLOOKUP($A33,商品マスタ!$A$2:$E$7,5,FALSE))</f>
        <v/>
      </c>
      <c r="G33" s="88"/>
      <c r="H33" s="47" t="str">
        <f>IF(ISBLANK($A33),"",VLOOKUP($A33,商品マスタ!$A$2:$E$7,4,FALSE))</f>
        <v/>
      </c>
      <c r="I33" s="13" t="str">
        <f t="shared" si="0"/>
        <v/>
      </c>
    </row>
    <row r="34" spans="2:9" ht="20.25" customHeight="1" x14ac:dyDescent="0.15">
      <c r="B34" s="159" t="str">
        <f>IF(ISBLANK($A34),"",VLOOKUP($A34,商品マスタ!$A$2:$E$7,2,FALSE))</f>
        <v/>
      </c>
      <c r="C34" s="160"/>
      <c r="D34" s="161" t="str">
        <f>IF(ISBLANK($A34),"",VLOOKUP($A34,商品マスタ!$A$2:$E$7,3,FALSE))</f>
        <v/>
      </c>
      <c r="E34" s="162"/>
      <c r="F34" s="11" t="str">
        <f>IF(ISBLANK($A34),"",VLOOKUP($A34,商品マスタ!$A$2:$E$7,5,FALSE))</f>
        <v/>
      </c>
      <c r="G34" s="88"/>
      <c r="H34" s="47" t="str">
        <f>IF(ISBLANK($A34),"",VLOOKUP($A34,商品マスタ!$A$2:$E$7,4,FALSE))</f>
        <v/>
      </c>
      <c r="I34" s="13" t="str">
        <f t="shared" si="0"/>
        <v/>
      </c>
    </row>
    <row r="35" spans="2:9" ht="20.25" customHeight="1" x14ac:dyDescent="0.15">
      <c r="B35" s="163" t="str">
        <f>IF(ISBLANK($A35),"",VLOOKUP($A35,商品マスタ!$A$2:$E$7,2,FALSE))</f>
        <v/>
      </c>
      <c r="C35" s="164"/>
      <c r="D35" s="165" t="str">
        <f>IF(ISBLANK($A35),"",VLOOKUP($A35,商品マスタ!$A$2:$E$7,3,FALSE))</f>
        <v/>
      </c>
      <c r="E35" s="166"/>
      <c r="F35" s="11" t="str">
        <f>IF(ISBLANK($A35),"",VLOOKUP($A35,商品マスタ!$A$2:$E$7,5,FALSE))</f>
        <v/>
      </c>
      <c r="G35" s="88"/>
      <c r="H35" s="47" t="str">
        <f>IF(ISBLANK($A35),"",VLOOKUP($A35,商品マスタ!$A$2:$E$7,4,FALSE))</f>
        <v/>
      </c>
      <c r="I35" s="13" t="str">
        <f t="shared" si="0"/>
        <v/>
      </c>
    </row>
    <row r="36" spans="2:9" ht="20.25" customHeight="1" x14ac:dyDescent="0.15">
      <c r="B36" s="163" t="str">
        <f>IF(ISBLANK($A36),"",VLOOKUP($A36,商品マスタ!$A$2:$E$7,2,FALSE))</f>
        <v/>
      </c>
      <c r="C36" s="164"/>
      <c r="D36" s="165" t="str">
        <f>IF(ISBLANK($A36),"",VLOOKUP($A36,商品マスタ!$A$2:$E$7,3,FALSE))</f>
        <v/>
      </c>
      <c r="E36" s="166"/>
      <c r="F36" s="11" t="str">
        <f>IF(ISBLANK($A36),"",VLOOKUP($A36,商品マスタ!$A$2:$E$7,5,FALSE))</f>
        <v/>
      </c>
      <c r="G36" s="88"/>
      <c r="H36" s="47" t="str">
        <f>IF(ISBLANK($A36),"",VLOOKUP($A36,商品マスタ!$A$2:$E$7,4,FALSE))</f>
        <v/>
      </c>
      <c r="I36" s="13" t="str">
        <f t="shared" si="0"/>
        <v/>
      </c>
    </row>
    <row r="37" spans="2:9" ht="20.25" customHeight="1" x14ac:dyDescent="0.15">
      <c r="B37" s="159" t="str">
        <f>IF(ISBLANK($A37),"",VLOOKUP($A37,商品マスタ!$A$2:$E$7,2,FALSE))</f>
        <v/>
      </c>
      <c r="C37" s="160"/>
      <c r="D37" s="161" t="str">
        <f>IF(ISBLANK($A37),"",VLOOKUP($A37,商品マスタ!$A$2:$E$7,3,FALSE))</f>
        <v/>
      </c>
      <c r="E37" s="162"/>
      <c r="F37" s="11" t="str">
        <f>IF(ISBLANK($A37),"",VLOOKUP($A37,商品マスタ!$A$2:$E$7,5,FALSE))</f>
        <v/>
      </c>
      <c r="G37" s="88"/>
      <c r="H37" s="47" t="str">
        <f>IF(ISBLANK($A37),"",VLOOKUP($A37,商品マスタ!$A$2:$E$7,4,FALSE))</f>
        <v/>
      </c>
      <c r="I37" s="13" t="str">
        <f t="shared" si="0"/>
        <v/>
      </c>
    </row>
    <row r="38" spans="2:9" ht="20.25" customHeight="1" x14ac:dyDescent="0.15">
      <c r="B38" s="159" t="str">
        <f>IF(ISBLANK($A38),"",VLOOKUP($A38,商品マスタ!$A$2:$E$7,2,FALSE))</f>
        <v/>
      </c>
      <c r="C38" s="160"/>
      <c r="D38" s="161" t="str">
        <f>IF(ISBLANK($A38),"",VLOOKUP($A38,商品マスタ!$A$2:$E$7,3,FALSE))</f>
        <v/>
      </c>
      <c r="E38" s="162"/>
      <c r="F38" s="11" t="str">
        <f>IF(ISBLANK($A38),"",VLOOKUP($A38,商品マスタ!$A$2:$E$7,5,FALSE))</f>
        <v/>
      </c>
      <c r="G38" s="89"/>
      <c r="H38" s="47" t="str">
        <f>IF(ISBLANK($A38),"",VLOOKUP($A38,商品マスタ!$A$2:$E$7,4,FALSE))</f>
        <v/>
      </c>
      <c r="I38" s="13" t="str">
        <f t="shared" si="0"/>
        <v/>
      </c>
    </row>
    <row r="39" spans="2:9" ht="20.25" customHeight="1" x14ac:dyDescent="0.15">
      <c r="B39" s="159" t="str">
        <f>IF(ISBLANK($A39),"",VLOOKUP($A39,商品マスタ!$A$2:$E$7,2,FALSE))</f>
        <v/>
      </c>
      <c r="C39" s="160"/>
      <c r="D39" s="161" t="str">
        <f>IF(ISBLANK($A39),"",VLOOKUP($A39,商品マスタ!$A$2:$E$7,3,FALSE))</f>
        <v/>
      </c>
      <c r="E39" s="162"/>
      <c r="F39" s="11" t="str">
        <f>IF(ISBLANK($A39),"",VLOOKUP($A39,商品マスタ!$A$2:$E$7,5,FALSE))</f>
        <v/>
      </c>
      <c r="G39" s="89"/>
      <c r="H39" s="47" t="str">
        <f>IF(ISBLANK($A39),"",VLOOKUP($A39,商品マスタ!$A$2:$E$7,4,FALSE))</f>
        <v/>
      </c>
      <c r="I39" s="13" t="str">
        <f t="shared" si="0"/>
        <v/>
      </c>
    </row>
    <row r="40" spans="2:9" ht="20.25" customHeight="1" x14ac:dyDescent="0.15">
      <c r="B40" s="151" t="str">
        <f>IF(ISBLANK($A40),"",VLOOKUP($A40,商品マスタ!$A$2:$E$7,2,FALSE))</f>
        <v/>
      </c>
      <c r="C40" s="152"/>
      <c r="D40" s="153" t="str">
        <f>IF(ISBLANK($A40),"",VLOOKUP($A40,商品マスタ!$A$2:$E$7,3,FALSE))</f>
        <v/>
      </c>
      <c r="E40" s="154"/>
      <c r="F40" s="11" t="str">
        <f>IF(ISBLANK($A40),"",VLOOKUP($A40,商品マスタ!$A$2:$E$7,5,FALSE))</f>
        <v/>
      </c>
      <c r="G40" s="90"/>
      <c r="H40" s="47" t="str">
        <f>IF(ISBLANK($A40),"",VLOOKUP($A40,商品マスタ!$A$2:$E$7,4,FALSE))</f>
        <v/>
      </c>
      <c r="I40" s="58" t="str">
        <f t="shared" si="0"/>
        <v/>
      </c>
    </row>
    <row r="41" spans="2:9" ht="18.75" customHeight="1" x14ac:dyDescent="0.15">
      <c r="F41" s="155" t="s">
        <v>5</v>
      </c>
      <c r="G41" s="155"/>
      <c r="H41" s="155"/>
      <c r="I41" s="50">
        <f>SUM(I27:I40)</f>
        <v>8000</v>
      </c>
    </row>
    <row r="42" spans="2:9" ht="18.75" customHeight="1" x14ac:dyDescent="0.15">
      <c r="F42" s="156" t="s">
        <v>6</v>
      </c>
      <c r="G42" s="156"/>
      <c r="H42" s="156"/>
      <c r="I42" s="50">
        <f>I41*各種設定!C2</f>
        <v>800</v>
      </c>
    </row>
    <row r="43" spans="2:9" ht="18.75" customHeight="1" thickBot="1" x14ac:dyDescent="0.2">
      <c r="F43" s="157" t="s">
        <v>7</v>
      </c>
      <c r="G43" s="157"/>
      <c r="H43" s="157"/>
      <c r="I43" s="51">
        <f>SUM(I41:I42)</f>
        <v>8800</v>
      </c>
    </row>
    <row r="44" spans="2:9" ht="13.5" customHeight="1" thickTop="1" x14ac:dyDescent="0.15"/>
    <row r="45" spans="2:9" ht="13.5" customHeight="1" x14ac:dyDescent="0.15">
      <c r="B45" s="19" t="s">
        <v>8</v>
      </c>
      <c r="C45" s="6"/>
      <c r="D45" s="6"/>
      <c r="E45" s="6"/>
      <c r="F45" s="6"/>
      <c r="G45" s="6"/>
      <c r="H45" s="6"/>
      <c r="I45" s="6"/>
    </row>
    <row r="46" spans="2:9" ht="4.5" customHeight="1" x14ac:dyDescent="0.15">
      <c r="B46" s="20"/>
      <c r="C46" s="7"/>
      <c r="D46" s="7"/>
      <c r="E46" s="7"/>
      <c r="F46" s="7"/>
    </row>
    <row r="47" spans="2:9" ht="13.5" customHeight="1" x14ac:dyDescent="0.15">
      <c r="B47" s="17"/>
    </row>
    <row r="48" spans="2:9" ht="13.5" customHeight="1" x14ac:dyDescent="0.15">
      <c r="B48" s="17"/>
    </row>
    <row r="49" spans="2:9" ht="13.5" customHeight="1" x14ac:dyDescent="0.15">
      <c r="B49" s="17"/>
    </row>
    <row r="50" spans="2:9" ht="13.5" customHeight="1" x14ac:dyDescent="0.15">
      <c r="B50" s="17"/>
    </row>
    <row r="51" spans="2:9" ht="13.5" customHeight="1" x14ac:dyDescent="0.15">
      <c r="B51" s="17"/>
    </row>
    <row r="52" spans="2:9" ht="13.5" customHeight="1" x14ac:dyDescent="0.15">
      <c r="B52" s="17"/>
    </row>
    <row r="53" spans="2:9" ht="13.5" customHeight="1" x14ac:dyDescent="0.15">
      <c r="B53" s="158"/>
      <c r="C53" s="158"/>
      <c r="D53" s="158"/>
      <c r="E53" s="158"/>
      <c r="F53" s="158"/>
      <c r="G53" s="158"/>
      <c r="H53" s="158"/>
      <c r="I53" s="158"/>
    </row>
  </sheetData>
  <mergeCells count="57">
    <mergeCell ref="C13:D13"/>
    <mergeCell ref="F13:I13"/>
    <mergeCell ref="B2:I2"/>
    <mergeCell ref="B3:I3"/>
    <mergeCell ref="F4:I4"/>
    <mergeCell ref="B5:D6"/>
    <mergeCell ref="F5:I5"/>
    <mergeCell ref="F6:I6"/>
    <mergeCell ref="B7:D8"/>
    <mergeCell ref="F7:I7"/>
    <mergeCell ref="E8:E10"/>
    <mergeCell ref="F8:I8"/>
    <mergeCell ref="B10:D10"/>
    <mergeCell ref="C14:D14"/>
    <mergeCell ref="F14:I14"/>
    <mergeCell ref="B15:B17"/>
    <mergeCell ref="C15:D15"/>
    <mergeCell ref="F15:I16"/>
    <mergeCell ref="C16:D16"/>
    <mergeCell ref="C17:D17"/>
    <mergeCell ref="F17:I17"/>
    <mergeCell ref="B18:B19"/>
    <mergeCell ref="C18:D19"/>
    <mergeCell ref="F18:I18"/>
    <mergeCell ref="B26:E26"/>
    <mergeCell ref="B27:C27"/>
    <mergeCell ref="D27:E27"/>
    <mergeCell ref="B28:C28"/>
    <mergeCell ref="D28:E28"/>
    <mergeCell ref="B29:C29"/>
    <mergeCell ref="D29:E29"/>
    <mergeCell ref="B30:C30"/>
    <mergeCell ref="D30:E30"/>
    <mergeCell ref="B31:C31"/>
    <mergeCell ref="D31:E31"/>
    <mergeCell ref="B32:C32"/>
    <mergeCell ref="D32:E32"/>
    <mergeCell ref="B33:C33"/>
    <mergeCell ref="D33:E33"/>
    <mergeCell ref="B34:C34"/>
    <mergeCell ref="D34:E34"/>
    <mergeCell ref="B35:C35"/>
    <mergeCell ref="D35:E35"/>
    <mergeCell ref="B36:C36"/>
    <mergeCell ref="D36:E36"/>
    <mergeCell ref="B53:I53"/>
    <mergeCell ref="B37:C37"/>
    <mergeCell ref="D37:E37"/>
    <mergeCell ref="B38:C38"/>
    <mergeCell ref="D38:E38"/>
    <mergeCell ref="B39:C39"/>
    <mergeCell ref="D39:E39"/>
    <mergeCell ref="B40:C40"/>
    <mergeCell ref="D40:E40"/>
    <mergeCell ref="F41:H41"/>
    <mergeCell ref="F42:H42"/>
    <mergeCell ref="F43:H43"/>
  </mergeCells>
  <phoneticPr fontId="4"/>
  <conditionalFormatting sqref="B27 D27 D31:D40 F27:I40 B29 B31:B40">
    <cfRule type="expression" dxfId="33" priority="6">
      <formula>MOD(ROW(),2)=1</formula>
    </cfRule>
  </conditionalFormatting>
  <conditionalFormatting sqref="B28">
    <cfRule type="expression" dxfId="32" priority="5">
      <formula>MOD(ROW(),2)=1</formula>
    </cfRule>
  </conditionalFormatting>
  <conditionalFormatting sqref="D28">
    <cfRule type="expression" dxfId="31" priority="4">
      <formula>MOD(ROW(),2)=1</formula>
    </cfRule>
  </conditionalFormatting>
  <conditionalFormatting sqref="D29">
    <cfRule type="expression" dxfId="30" priority="3">
      <formula>MOD(ROW(),2)=1</formula>
    </cfRule>
  </conditionalFormatting>
  <conditionalFormatting sqref="D30">
    <cfRule type="expression" dxfId="29" priority="2">
      <formula>MOD(ROW(),2)=1</formula>
    </cfRule>
  </conditionalFormatting>
  <conditionalFormatting sqref="B30">
    <cfRule type="expression" dxfId="28" priority="1">
      <formula>MOD(ROW(),2)=1</formula>
    </cfRule>
  </conditionalFormatting>
  <printOptions horizontalCentered="1"/>
  <pageMargins left="0.94488188976377963" right="0.47244094488188981" top="0.59055118110236227" bottom="0.59055118110236227" header="0.31496062992125984" footer="0.19685039370078741"/>
  <pageSetup paperSize="9" scale="93" orientation="portrait" horizontalDpi="4294967293"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B796AD-94BD-48A7-8B7A-BFA60E4CE859}">
  <sheetPr codeName="Sheet12">
    <pageSetUpPr fitToPage="1"/>
  </sheetPr>
  <dimension ref="A2:I53"/>
  <sheetViews>
    <sheetView showGridLines="0" view="pageBreakPreview" zoomScaleNormal="100" zoomScaleSheetLayoutView="100" workbookViewId="0">
      <selection activeCell="N9" sqref="N9"/>
    </sheetView>
  </sheetViews>
  <sheetFormatPr defaultColWidth="3.125" defaultRowHeight="13.5" customHeight="1" x14ac:dyDescent="0.15"/>
  <cols>
    <col min="1" max="1" width="7.625" style="1" customWidth="1"/>
    <col min="2" max="2" width="13.875" style="1" customWidth="1"/>
    <col min="3" max="3" width="15" style="1" customWidth="1"/>
    <col min="4" max="4" width="11.125" style="1" customWidth="1"/>
    <col min="5" max="5" width="16.75" style="1" customWidth="1"/>
    <col min="6" max="6" width="11.125" style="1" customWidth="1"/>
    <col min="7" max="7" width="6.625" style="1" customWidth="1"/>
    <col min="8" max="8" width="6.125" style="1" customWidth="1"/>
    <col min="9" max="9" width="12.25" style="1" customWidth="1"/>
    <col min="10" max="16384" width="3.125" style="1"/>
  </cols>
  <sheetData>
    <row r="2" spans="2:9" ht="13.5" customHeight="1" x14ac:dyDescent="0.15">
      <c r="B2" s="158"/>
      <c r="C2" s="158"/>
      <c r="D2" s="158"/>
      <c r="E2" s="158"/>
      <c r="F2" s="158"/>
      <c r="G2" s="158"/>
      <c r="H2" s="158"/>
      <c r="I2" s="158"/>
    </row>
    <row r="3" spans="2:9" s="2" customFormat="1" ht="36.75" customHeight="1" x14ac:dyDescent="0.55000000000000004">
      <c r="B3" s="192" t="s">
        <v>22</v>
      </c>
      <c r="C3" s="192"/>
      <c r="D3" s="192"/>
      <c r="E3" s="192"/>
      <c r="F3" s="192"/>
      <c r="G3" s="192"/>
      <c r="H3" s="192"/>
      <c r="I3" s="192"/>
    </row>
    <row r="4" spans="2:9" ht="15" customHeight="1" x14ac:dyDescent="0.15">
      <c r="F4" s="193"/>
      <c r="G4" s="193"/>
      <c r="H4" s="193"/>
      <c r="I4" s="193"/>
    </row>
    <row r="5" spans="2:9" ht="13.5" customHeight="1" x14ac:dyDescent="0.15">
      <c r="B5" s="194" t="str">
        <f>VLOOKUP(F5,請求書履歴!$A$2:$E$40,3,FALSE)</f>
        <v>女性共同法律事務所</v>
      </c>
      <c r="C5" s="194"/>
      <c r="D5" s="194"/>
      <c r="E5" s="121"/>
      <c r="F5" s="195">
        <v>20200008</v>
      </c>
      <c r="G5" s="195"/>
      <c r="H5" s="195"/>
      <c r="I5" s="195"/>
    </row>
    <row r="6" spans="2:9" ht="13.5" customHeight="1" x14ac:dyDescent="0.15">
      <c r="B6" s="194"/>
      <c r="C6" s="194"/>
      <c r="D6" s="194"/>
      <c r="F6" s="196">
        <v>44074</v>
      </c>
      <c r="G6" s="196"/>
      <c r="H6" s="196"/>
      <c r="I6" s="196"/>
    </row>
    <row r="7" spans="2:9" ht="13.5" customHeight="1" x14ac:dyDescent="0.15">
      <c r="B7" s="186" t="str">
        <f>VLOOKUP(F5,請求書履歴!$A$2:$E$40,4,FALSE)&amp; " " &amp; VLOOKUP(F5,請求書履歴!$A$2:$E$40,5,FALSE)</f>
        <v>宮地 様</v>
      </c>
      <c r="C7" s="186"/>
      <c r="D7" s="186"/>
      <c r="F7" s="187"/>
      <c r="G7" s="187"/>
      <c r="H7" s="187"/>
      <c r="I7" s="187"/>
    </row>
    <row r="8" spans="2:9" ht="13.5" customHeight="1" x14ac:dyDescent="0.15">
      <c r="B8" s="186"/>
      <c r="C8" s="186"/>
      <c r="D8" s="186"/>
      <c r="E8" s="188"/>
      <c r="F8" s="177"/>
      <c r="G8" s="177"/>
      <c r="H8" s="177"/>
      <c r="I8" s="177"/>
    </row>
    <row r="9" spans="2:9" ht="13.5" customHeight="1" x14ac:dyDescent="0.15">
      <c r="B9" s="119"/>
      <c r="C9" s="119"/>
      <c r="D9" s="119"/>
      <c r="E9" s="188"/>
      <c r="F9" s="122"/>
      <c r="G9" s="122"/>
      <c r="H9" s="122"/>
      <c r="I9" s="122"/>
    </row>
    <row r="10" spans="2:9" ht="13.5" customHeight="1" x14ac:dyDescent="0.15">
      <c r="B10" s="189"/>
      <c r="C10" s="189"/>
      <c r="D10" s="189"/>
      <c r="E10" s="188"/>
      <c r="F10" s="120"/>
      <c r="G10" s="120"/>
      <c r="H10" s="120"/>
      <c r="I10" s="120"/>
    </row>
    <row r="11" spans="2:9" ht="13.5" customHeight="1" x14ac:dyDescent="0.15">
      <c r="B11" s="28" t="s">
        <v>23</v>
      </c>
      <c r="C11" s="17"/>
      <c r="D11" s="123"/>
      <c r="E11" s="4"/>
      <c r="F11" s="29"/>
      <c r="G11" s="120"/>
      <c r="H11" s="120"/>
      <c r="I11" s="30"/>
    </row>
    <row r="12" spans="2:9" ht="13.5" customHeight="1" x14ac:dyDescent="0.15">
      <c r="B12" s="52"/>
      <c r="C12" s="52"/>
      <c r="D12" s="52"/>
      <c r="E12" s="4"/>
      <c r="F12" s="31"/>
      <c r="G12" s="31"/>
      <c r="H12" s="31"/>
      <c r="I12" s="31"/>
    </row>
    <row r="13" spans="2:9" ht="21" customHeight="1" x14ac:dyDescent="0.4">
      <c r="B13" s="43" t="s">
        <v>12</v>
      </c>
      <c r="C13" s="190" t="s">
        <v>116</v>
      </c>
      <c r="D13" s="190"/>
      <c r="E13" s="4"/>
      <c r="F13" s="191">
        <f>各種設定!C6</f>
        <v>6390223</v>
      </c>
      <c r="G13" s="191"/>
      <c r="H13" s="191"/>
      <c r="I13" s="191"/>
    </row>
    <row r="14" spans="2:9" ht="21" customHeight="1" x14ac:dyDescent="0.4">
      <c r="B14" s="43" t="s">
        <v>25</v>
      </c>
      <c r="C14" s="176">
        <f>EDATE(F6,1)</f>
        <v>44104</v>
      </c>
      <c r="D14" s="176"/>
      <c r="E14" s="4"/>
      <c r="F14" s="177" t="str">
        <f>各種設定!C7</f>
        <v>奈良県香芝市真美ヶ丘7-1-2</v>
      </c>
      <c r="G14" s="177"/>
      <c r="H14" s="177"/>
      <c r="I14" s="177"/>
    </row>
    <row r="15" spans="2:9" ht="19.5" customHeight="1" x14ac:dyDescent="0.4">
      <c r="B15" s="178" t="s">
        <v>13</v>
      </c>
      <c r="C15" s="181" t="str">
        <f>各種設定!C15&amp;" 　"&amp;各種設定!C16</f>
        <v>りそな 銀行 　香芝 支店</v>
      </c>
      <c r="D15" s="181"/>
      <c r="E15" s="121"/>
      <c r="F15" s="182" t="str">
        <f>各種設定!C10</f>
        <v>松田　ひとみ</v>
      </c>
      <c r="G15" s="182"/>
      <c r="H15" s="182"/>
      <c r="I15" s="182"/>
    </row>
    <row r="16" spans="2:9" ht="16.5" x14ac:dyDescent="0.4">
      <c r="B16" s="179"/>
      <c r="C16" s="183" t="str">
        <f>各種設定!C17</f>
        <v>普通　6275173</v>
      </c>
      <c r="D16" s="183"/>
      <c r="F16" s="182"/>
      <c r="G16" s="182"/>
      <c r="H16" s="182"/>
      <c r="I16" s="182"/>
    </row>
    <row r="17" spans="1:9" ht="16.5" customHeight="1" x14ac:dyDescent="0.4">
      <c r="B17" s="180"/>
      <c r="C17" s="184" t="str">
        <f>各種設定!C18</f>
        <v>マツダ　ヒトミ</v>
      </c>
      <c r="D17" s="184"/>
      <c r="E17" s="121"/>
      <c r="F17" s="185" t="str">
        <f>各種設定!C11</f>
        <v>090-8657-6721</v>
      </c>
      <c r="G17" s="185"/>
      <c r="H17" s="185"/>
      <c r="I17" s="185"/>
    </row>
    <row r="18" spans="1:9" ht="14.25" x14ac:dyDescent="0.15">
      <c r="B18" s="169" t="s">
        <v>14</v>
      </c>
      <c r="C18" s="171">
        <f>I43</f>
        <v>13200</v>
      </c>
      <c r="D18" s="171"/>
      <c r="E18" s="121"/>
      <c r="F18" s="172" t="str">
        <f>各種設定!C12</f>
        <v>hitomi@1103slabo.com</v>
      </c>
      <c r="G18" s="172"/>
      <c r="H18" s="172"/>
      <c r="I18" s="172"/>
    </row>
    <row r="19" spans="1:9" ht="34.5" customHeight="1" x14ac:dyDescent="0.15">
      <c r="B19" s="170"/>
      <c r="C19" s="171"/>
      <c r="D19" s="171"/>
      <c r="E19" s="121"/>
      <c r="F19" s="121"/>
      <c r="G19" s="121"/>
      <c r="H19" s="121"/>
      <c r="I19" s="121"/>
    </row>
    <row r="20" spans="1:9" ht="12.75" customHeight="1" x14ac:dyDescent="0.15">
      <c r="B20" s="17"/>
      <c r="C20" s="17"/>
      <c r="D20" s="17"/>
      <c r="E20" s="121"/>
      <c r="F20" s="121"/>
      <c r="G20" s="121"/>
      <c r="H20" s="121"/>
      <c r="I20" s="121"/>
    </row>
    <row r="21" spans="1:9" ht="13.5" customHeight="1" x14ac:dyDescent="0.15">
      <c r="B21" s="25" t="s">
        <v>0</v>
      </c>
      <c r="C21" s="25"/>
      <c r="D21" s="25"/>
      <c r="E21" s="25"/>
      <c r="F21" s="25"/>
      <c r="G21" s="25"/>
      <c r="H21" s="25"/>
      <c r="I21" s="25"/>
    </row>
    <row r="22" spans="1:9" ht="13.5" customHeight="1" x14ac:dyDescent="0.15">
      <c r="B22" s="25" t="s">
        <v>15</v>
      </c>
      <c r="C22" s="25"/>
      <c r="D22" s="25"/>
      <c r="E22" s="25"/>
      <c r="F22" s="25"/>
      <c r="G22" s="25"/>
      <c r="H22" s="25"/>
      <c r="I22" s="25"/>
    </row>
    <row r="23" spans="1:9" ht="13.5" customHeight="1" x14ac:dyDescent="0.15">
      <c r="B23" s="25"/>
      <c r="C23" s="25"/>
      <c r="D23" s="25"/>
      <c r="E23" s="25"/>
      <c r="F23" s="25"/>
      <c r="G23" s="25"/>
      <c r="H23" s="25"/>
      <c r="I23" s="25"/>
    </row>
    <row r="24" spans="1:9" ht="13.5" customHeight="1" x14ac:dyDescent="0.15">
      <c r="B24" s="25"/>
      <c r="C24" s="25"/>
      <c r="D24" s="25"/>
      <c r="E24" s="25"/>
      <c r="F24" s="25"/>
      <c r="G24" s="25"/>
      <c r="H24" s="25"/>
      <c r="I24" s="25"/>
    </row>
    <row r="25" spans="1:9" ht="13.5" customHeight="1" x14ac:dyDescent="0.15">
      <c r="B25" s="19" t="s">
        <v>1</v>
      </c>
      <c r="C25" s="18"/>
      <c r="D25" s="18"/>
      <c r="E25" s="18"/>
      <c r="F25" s="18"/>
      <c r="G25" s="18"/>
      <c r="H25" s="18"/>
      <c r="I25" s="18"/>
    </row>
    <row r="26" spans="1:9" s="44" customFormat="1" ht="20.25" customHeight="1" x14ac:dyDescent="0.15">
      <c r="A26" s="44" t="s">
        <v>18</v>
      </c>
      <c r="B26" s="173" t="s">
        <v>26</v>
      </c>
      <c r="C26" s="173"/>
      <c r="D26" s="173"/>
      <c r="E26" s="173"/>
      <c r="F26" s="45" t="s">
        <v>2</v>
      </c>
      <c r="G26" s="45" t="s">
        <v>3</v>
      </c>
      <c r="H26" s="46" t="s">
        <v>11</v>
      </c>
      <c r="I26" s="46" t="s">
        <v>4</v>
      </c>
    </row>
    <row r="27" spans="1:9" ht="20.25" customHeight="1" x14ac:dyDescent="0.15">
      <c r="A27" s="1" t="s">
        <v>20</v>
      </c>
      <c r="B27" s="174" t="str">
        <f>IF(ISBLANK($A27),"",VLOOKUP($A27,商品マスタ!$A$2:$E$7,2,FALSE))</f>
        <v>PCトラブル・メール相談</v>
      </c>
      <c r="C27" s="175"/>
      <c r="D27" s="161" t="s">
        <v>117</v>
      </c>
      <c r="E27" s="162"/>
      <c r="F27" s="11">
        <f>IF(ISBLANK($A27),"",VLOOKUP($A27,商品マスタ,5,FALSE))</f>
        <v>1000</v>
      </c>
      <c r="G27" s="87">
        <v>1</v>
      </c>
      <c r="H27" s="47" t="str">
        <f>IF(ISBLANK($A27),"",VLOOKUP($A27,商品マスタ,4,FALSE))</f>
        <v>案件</v>
      </c>
      <c r="I27" s="13">
        <f>IF(G27="","",F27*G27)</f>
        <v>1000</v>
      </c>
    </row>
    <row r="28" spans="1:9" ht="20.25" customHeight="1" x14ac:dyDescent="0.15">
      <c r="A28" s="1" t="s">
        <v>29</v>
      </c>
      <c r="B28" s="229" t="s">
        <v>113</v>
      </c>
      <c r="C28" s="230"/>
      <c r="D28" s="161" t="str">
        <f>IF(ISBLANK($A28),"",VLOOKUP($A28,商品マスタ!$A$2:$E$7,3,FALSE))</f>
        <v>メール内容調査、原因対応資料作成</v>
      </c>
      <c r="E28" s="162"/>
      <c r="F28" s="11">
        <f>IF(ISBLANK($A28),"",VLOOKUP($A28,商品マスタ,5,FALSE))</f>
        <v>2000</v>
      </c>
      <c r="G28" s="87">
        <v>2</v>
      </c>
      <c r="H28" s="47" t="str">
        <f>IF(ISBLANK($A28),"",VLOOKUP($A28,商品マスタ,4,FALSE))</f>
        <v>時間</v>
      </c>
      <c r="I28" s="13">
        <f t="shared" ref="I28:I40" si="0">IF(G28="","",F28*G28)</f>
        <v>4000</v>
      </c>
    </row>
    <row r="29" spans="1:9" ht="20.25" customHeight="1" x14ac:dyDescent="0.15">
      <c r="A29" s="1" t="s">
        <v>20</v>
      </c>
      <c r="B29" s="167" t="str">
        <f>IF(ISBLANK($A29),"",VLOOKUP($A29,商品マスタ!$A$2:$E$7,2,FALSE))</f>
        <v>PCトラブル・メール相談</v>
      </c>
      <c r="C29" s="168"/>
      <c r="D29" s="161" t="s">
        <v>118</v>
      </c>
      <c r="E29" s="162"/>
      <c r="F29" s="11">
        <f>IF(ISBLANK($A29),"",VLOOKUP($A29,商品マスタ,5,FALSE))</f>
        <v>1000</v>
      </c>
      <c r="G29" s="87">
        <v>1</v>
      </c>
      <c r="H29" s="47" t="str">
        <f>IF(ISBLANK($A29),"",VLOOKUP($A29,商品マスタ,4,FALSE))</f>
        <v>案件</v>
      </c>
      <c r="I29" s="13">
        <f t="shared" si="0"/>
        <v>1000</v>
      </c>
    </row>
    <row r="30" spans="1:9" ht="20.25" customHeight="1" x14ac:dyDescent="0.15">
      <c r="A30" s="1" t="s">
        <v>29</v>
      </c>
      <c r="B30" s="229" t="s">
        <v>113</v>
      </c>
      <c r="C30" s="230"/>
      <c r="D30" s="161" t="str">
        <f>IF(ISBLANK($A30),"",VLOOKUP($A30,商品マスタ!$A$2:$E$7,3,FALSE))</f>
        <v>メール内容調査、原因対応資料作成</v>
      </c>
      <c r="E30" s="162"/>
      <c r="F30" s="11">
        <f>IF(ISBLANK($A30),"",VLOOKUP($A30,商品マスタ,5,FALSE))</f>
        <v>2000</v>
      </c>
      <c r="G30" s="87">
        <v>2</v>
      </c>
      <c r="H30" s="47" t="str">
        <f>IF(ISBLANK($A30),"",VLOOKUP($A30,商品マスタ,4,FALSE))</f>
        <v>時間</v>
      </c>
      <c r="I30" s="13">
        <f t="shared" si="0"/>
        <v>4000</v>
      </c>
    </row>
    <row r="31" spans="1:9" ht="20.25" customHeight="1" x14ac:dyDescent="0.15">
      <c r="A31" s="1" t="s">
        <v>121</v>
      </c>
      <c r="B31" s="167" t="str">
        <f>IF(ISBLANK($A31),"",VLOOKUP($A31,商品マスタ,2,FALSE))</f>
        <v>リモートサポート</v>
      </c>
      <c r="C31" s="168"/>
      <c r="D31" s="161" t="s">
        <v>122</v>
      </c>
      <c r="E31" s="162"/>
      <c r="F31" s="11">
        <f>IF(ISBLANK($A31),"",VLOOKUP($A31,商品マスタ,5,FALSE))</f>
        <v>2000</v>
      </c>
      <c r="G31" s="87">
        <v>1</v>
      </c>
      <c r="H31" s="47" t="str">
        <f>IF(ISBLANK($A31),"",VLOOKUP($A31,商品マスタ,4,FALSE))</f>
        <v>時間</v>
      </c>
      <c r="I31" s="13">
        <f t="shared" si="0"/>
        <v>2000</v>
      </c>
    </row>
    <row r="32" spans="1:9" ht="20.25" customHeight="1" x14ac:dyDescent="0.15">
      <c r="B32" s="159" t="str">
        <f>IF(ISBLANK($A32),"",VLOOKUP($A32,商品マスタ!$A$2:$E$7,2,FALSE))</f>
        <v/>
      </c>
      <c r="C32" s="160"/>
      <c r="D32" s="161" t="str">
        <f>IF(ISBLANK($A32),"",VLOOKUP($A32,商品マスタ!$A$2:$E$7,3,FALSE))</f>
        <v/>
      </c>
      <c r="E32" s="162"/>
      <c r="F32" s="11" t="str">
        <f>IF(ISBLANK($A32),"",VLOOKUP($A32,商品マスタ!$A$2:$E$7,5,FALSE))</f>
        <v/>
      </c>
      <c r="G32" s="88"/>
      <c r="H32" s="47" t="str">
        <f>IF(ISBLANK($A32),"",VLOOKUP($A32,商品マスタ!$A$2:$E$7,4,FALSE))</f>
        <v/>
      </c>
      <c r="I32" s="13" t="str">
        <f t="shared" si="0"/>
        <v/>
      </c>
    </row>
    <row r="33" spans="2:9" ht="20.25" customHeight="1" x14ac:dyDescent="0.15">
      <c r="B33" s="159" t="str">
        <f>IF(ISBLANK($A33),"",VLOOKUP($A33,商品マスタ!$A$2:$E$7,2,FALSE))</f>
        <v/>
      </c>
      <c r="C33" s="160"/>
      <c r="D33" s="161" t="str">
        <f>IF(ISBLANK($A33),"",VLOOKUP($A33,商品マスタ!$A$2:$E$7,3,FALSE))</f>
        <v/>
      </c>
      <c r="E33" s="162"/>
      <c r="F33" s="11" t="str">
        <f>IF(ISBLANK($A33),"",VLOOKUP($A33,商品マスタ!$A$2:$E$7,5,FALSE))</f>
        <v/>
      </c>
      <c r="G33" s="88"/>
      <c r="H33" s="47" t="str">
        <f>IF(ISBLANK($A33),"",VLOOKUP($A33,商品マスタ!$A$2:$E$7,4,FALSE))</f>
        <v/>
      </c>
      <c r="I33" s="13" t="str">
        <f t="shared" si="0"/>
        <v/>
      </c>
    </row>
    <row r="34" spans="2:9" ht="20.25" customHeight="1" x14ac:dyDescent="0.15">
      <c r="B34" s="159" t="str">
        <f>IF(ISBLANK($A34),"",VLOOKUP($A34,商品マスタ!$A$2:$E$7,2,FALSE))</f>
        <v/>
      </c>
      <c r="C34" s="160"/>
      <c r="D34" s="161" t="str">
        <f>IF(ISBLANK($A34),"",VLOOKUP($A34,商品マスタ!$A$2:$E$7,3,FALSE))</f>
        <v/>
      </c>
      <c r="E34" s="162"/>
      <c r="F34" s="11" t="str">
        <f>IF(ISBLANK($A34),"",VLOOKUP($A34,商品マスタ!$A$2:$E$7,5,FALSE))</f>
        <v/>
      </c>
      <c r="G34" s="88"/>
      <c r="H34" s="47" t="str">
        <f>IF(ISBLANK($A34),"",VLOOKUP($A34,商品マスタ!$A$2:$E$7,4,FALSE))</f>
        <v/>
      </c>
      <c r="I34" s="13" t="str">
        <f t="shared" si="0"/>
        <v/>
      </c>
    </row>
    <row r="35" spans="2:9" ht="20.25" customHeight="1" x14ac:dyDescent="0.15">
      <c r="B35" s="163" t="str">
        <f>IF(ISBLANK($A35),"",VLOOKUP($A35,商品マスタ!$A$2:$E$7,2,FALSE))</f>
        <v/>
      </c>
      <c r="C35" s="164"/>
      <c r="D35" s="165" t="str">
        <f>IF(ISBLANK($A35),"",VLOOKUP($A35,商品マスタ!$A$2:$E$7,3,FALSE))</f>
        <v/>
      </c>
      <c r="E35" s="166"/>
      <c r="F35" s="11" t="str">
        <f>IF(ISBLANK($A35),"",VLOOKUP($A35,商品マスタ!$A$2:$E$7,5,FALSE))</f>
        <v/>
      </c>
      <c r="G35" s="88"/>
      <c r="H35" s="47" t="str">
        <f>IF(ISBLANK($A35),"",VLOOKUP($A35,商品マスタ!$A$2:$E$7,4,FALSE))</f>
        <v/>
      </c>
      <c r="I35" s="13" t="str">
        <f t="shared" si="0"/>
        <v/>
      </c>
    </row>
    <row r="36" spans="2:9" ht="20.25" customHeight="1" x14ac:dyDescent="0.15">
      <c r="B36" s="163" t="str">
        <f>IF(ISBLANK($A36),"",VLOOKUP($A36,商品マスタ!$A$2:$E$7,2,FALSE))</f>
        <v/>
      </c>
      <c r="C36" s="164"/>
      <c r="D36" s="165" t="str">
        <f>IF(ISBLANK($A36),"",VLOOKUP($A36,商品マスタ!$A$2:$E$7,3,FALSE))</f>
        <v/>
      </c>
      <c r="E36" s="166"/>
      <c r="F36" s="11" t="str">
        <f>IF(ISBLANK($A36),"",VLOOKUP($A36,商品マスタ!$A$2:$E$7,5,FALSE))</f>
        <v/>
      </c>
      <c r="G36" s="88"/>
      <c r="H36" s="47" t="str">
        <f>IF(ISBLANK($A36),"",VLOOKUP($A36,商品マスタ!$A$2:$E$7,4,FALSE))</f>
        <v/>
      </c>
      <c r="I36" s="13" t="str">
        <f t="shared" si="0"/>
        <v/>
      </c>
    </row>
    <row r="37" spans="2:9" ht="20.25" customHeight="1" x14ac:dyDescent="0.15">
      <c r="B37" s="159" t="str">
        <f>IF(ISBLANK($A37),"",VLOOKUP($A37,商品マスタ!$A$2:$E$7,2,FALSE))</f>
        <v/>
      </c>
      <c r="C37" s="160"/>
      <c r="D37" s="161" t="str">
        <f>IF(ISBLANK($A37),"",VLOOKUP($A37,商品マスタ!$A$2:$E$7,3,FALSE))</f>
        <v/>
      </c>
      <c r="E37" s="162"/>
      <c r="F37" s="11" t="str">
        <f>IF(ISBLANK($A37),"",VLOOKUP($A37,商品マスタ!$A$2:$E$7,5,FALSE))</f>
        <v/>
      </c>
      <c r="G37" s="88"/>
      <c r="H37" s="47" t="str">
        <f>IF(ISBLANK($A37),"",VLOOKUP($A37,商品マスタ!$A$2:$E$7,4,FALSE))</f>
        <v/>
      </c>
      <c r="I37" s="13" t="str">
        <f t="shared" si="0"/>
        <v/>
      </c>
    </row>
    <row r="38" spans="2:9" ht="20.25" customHeight="1" x14ac:dyDescent="0.15">
      <c r="B38" s="159" t="str">
        <f>IF(ISBLANK($A38),"",VLOOKUP($A38,商品マスタ!$A$2:$E$7,2,FALSE))</f>
        <v/>
      </c>
      <c r="C38" s="160"/>
      <c r="D38" s="161" t="str">
        <f>IF(ISBLANK($A38),"",VLOOKUP($A38,商品マスタ!$A$2:$E$7,3,FALSE))</f>
        <v/>
      </c>
      <c r="E38" s="162"/>
      <c r="F38" s="11" t="str">
        <f>IF(ISBLANK($A38),"",VLOOKUP($A38,商品マスタ!$A$2:$E$7,5,FALSE))</f>
        <v/>
      </c>
      <c r="G38" s="89"/>
      <c r="H38" s="47" t="str">
        <f>IF(ISBLANK($A38),"",VLOOKUP($A38,商品マスタ!$A$2:$E$7,4,FALSE))</f>
        <v/>
      </c>
      <c r="I38" s="13" t="str">
        <f t="shared" si="0"/>
        <v/>
      </c>
    </row>
    <row r="39" spans="2:9" ht="20.25" customHeight="1" x14ac:dyDescent="0.15">
      <c r="B39" s="159" t="str">
        <f>IF(ISBLANK($A39),"",VLOOKUP($A39,商品マスタ!$A$2:$E$7,2,FALSE))</f>
        <v/>
      </c>
      <c r="C39" s="160"/>
      <c r="D39" s="161" t="str">
        <f>IF(ISBLANK($A39),"",VLOOKUP($A39,商品マスタ!$A$2:$E$7,3,FALSE))</f>
        <v/>
      </c>
      <c r="E39" s="162"/>
      <c r="F39" s="11" t="str">
        <f>IF(ISBLANK($A39),"",VLOOKUP($A39,商品マスタ!$A$2:$E$7,5,FALSE))</f>
        <v/>
      </c>
      <c r="G39" s="89"/>
      <c r="H39" s="47" t="str">
        <f>IF(ISBLANK($A39),"",VLOOKUP($A39,商品マスタ!$A$2:$E$7,4,FALSE))</f>
        <v/>
      </c>
      <c r="I39" s="13" t="str">
        <f t="shared" si="0"/>
        <v/>
      </c>
    </row>
    <row r="40" spans="2:9" ht="20.25" customHeight="1" x14ac:dyDescent="0.15">
      <c r="B40" s="151" t="str">
        <f>IF(ISBLANK($A40),"",VLOOKUP($A40,商品マスタ!$A$2:$E$7,2,FALSE))</f>
        <v/>
      </c>
      <c r="C40" s="152"/>
      <c r="D40" s="153" t="str">
        <f>IF(ISBLANK($A40),"",VLOOKUP($A40,商品マスタ!$A$2:$E$7,3,FALSE))</f>
        <v/>
      </c>
      <c r="E40" s="154"/>
      <c r="F40" s="11" t="str">
        <f>IF(ISBLANK($A40),"",VLOOKUP($A40,商品マスタ!$A$2:$E$7,5,FALSE))</f>
        <v/>
      </c>
      <c r="G40" s="90"/>
      <c r="H40" s="47" t="str">
        <f>IF(ISBLANK($A40),"",VLOOKUP($A40,商品マスタ!$A$2:$E$7,4,FALSE))</f>
        <v/>
      </c>
      <c r="I40" s="58" t="str">
        <f t="shared" si="0"/>
        <v/>
      </c>
    </row>
    <row r="41" spans="2:9" ht="18.75" customHeight="1" x14ac:dyDescent="0.15">
      <c r="F41" s="155" t="s">
        <v>5</v>
      </c>
      <c r="G41" s="155"/>
      <c r="H41" s="155"/>
      <c r="I41" s="50">
        <f>SUM(I27:I40)</f>
        <v>12000</v>
      </c>
    </row>
    <row r="42" spans="2:9" ht="18.75" customHeight="1" x14ac:dyDescent="0.15">
      <c r="F42" s="156" t="s">
        <v>6</v>
      </c>
      <c r="G42" s="156"/>
      <c r="H42" s="156"/>
      <c r="I42" s="50">
        <f>I41*各種設定!C2</f>
        <v>1200</v>
      </c>
    </row>
    <row r="43" spans="2:9" ht="18.75" customHeight="1" thickBot="1" x14ac:dyDescent="0.2">
      <c r="F43" s="157" t="s">
        <v>7</v>
      </c>
      <c r="G43" s="157"/>
      <c r="H43" s="157"/>
      <c r="I43" s="51">
        <f>SUM(I41:I42)</f>
        <v>13200</v>
      </c>
    </row>
    <row r="44" spans="2:9" ht="13.5" customHeight="1" thickTop="1" x14ac:dyDescent="0.15"/>
    <row r="45" spans="2:9" ht="13.5" customHeight="1" x14ac:dyDescent="0.15">
      <c r="B45" s="19" t="s">
        <v>8</v>
      </c>
      <c r="C45" s="6"/>
      <c r="D45" s="6"/>
      <c r="E45" s="6"/>
      <c r="F45" s="6"/>
      <c r="G45" s="6"/>
      <c r="H45" s="6"/>
      <c r="I45" s="6"/>
    </row>
    <row r="46" spans="2:9" ht="4.5" customHeight="1" x14ac:dyDescent="0.15">
      <c r="B46" s="20"/>
      <c r="C46" s="7"/>
      <c r="D46" s="7"/>
      <c r="E46" s="7"/>
      <c r="F46" s="7"/>
    </row>
    <row r="47" spans="2:9" ht="13.5" customHeight="1" x14ac:dyDescent="0.15">
      <c r="B47" s="17"/>
    </row>
    <row r="48" spans="2:9" ht="13.5" customHeight="1" x14ac:dyDescent="0.15">
      <c r="B48" s="17"/>
    </row>
    <row r="49" spans="2:9" ht="13.5" customHeight="1" x14ac:dyDescent="0.15">
      <c r="B49" s="17"/>
    </row>
    <row r="50" spans="2:9" ht="13.5" customHeight="1" x14ac:dyDescent="0.15">
      <c r="B50" s="17"/>
    </row>
    <row r="51" spans="2:9" ht="13.5" customHeight="1" x14ac:dyDescent="0.15">
      <c r="B51" s="17"/>
    </row>
    <row r="52" spans="2:9" ht="13.5" customHeight="1" x14ac:dyDescent="0.15">
      <c r="B52" s="17"/>
    </row>
    <row r="53" spans="2:9" ht="13.5" customHeight="1" x14ac:dyDescent="0.15">
      <c r="B53" s="158"/>
      <c r="C53" s="158"/>
      <c r="D53" s="158"/>
      <c r="E53" s="158"/>
      <c r="F53" s="158"/>
      <c r="G53" s="158"/>
      <c r="H53" s="158"/>
      <c r="I53" s="158"/>
    </row>
  </sheetData>
  <mergeCells count="57">
    <mergeCell ref="B53:I53"/>
    <mergeCell ref="B37:C37"/>
    <mergeCell ref="D37:E37"/>
    <mergeCell ref="B38:C38"/>
    <mergeCell ref="D38:E38"/>
    <mergeCell ref="B39:C39"/>
    <mergeCell ref="D39:E39"/>
    <mergeCell ref="B40:C40"/>
    <mergeCell ref="D40:E40"/>
    <mergeCell ref="F41:H41"/>
    <mergeCell ref="F42:H42"/>
    <mergeCell ref="F43:H43"/>
    <mergeCell ref="B34:C34"/>
    <mergeCell ref="D34:E34"/>
    <mergeCell ref="B35:C35"/>
    <mergeCell ref="D35:E35"/>
    <mergeCell ref="B36:C36"/>
    <mergeCell ref="D36:E36"/>
    <mergeCell ref="B31:C31"/>
    <mergeCell ref="D31:E31"/>
    <mergeCell ref="B32:C32"/>
    <mergeCell ref="D32:E32"/>
    <mergeCell ref="B33:C33"/>
    <mergeCell ref="D33:E33"/>
    <mergeCell ref="B28:C28"/>
    <mergeCell ref="D28:E28"/>
    <mergeCell ref="B29:C29"/>
    <mergeCell ref="D29:E29"/>
    <mergeCell ref="B30:C30"/>
    <mergeCell ref="D30:E30"/>
    <mergeCell ref="B18:B19"/>
    <mergeCell ref="C18:D19"/>
    <mergeCell ref="F18:I18"/>
    <mergeCell ref="B26:E26"/>
    <mergeCell ref="B27:C27"/>
    <mergeCell ref="D27:E27"/>
    <mergeCell ref="C14:D14"/>
    <mergeCell ref="F14:I14"/>
    <mergeCell ref="B15:B17"/>
    <mergeCell ref="C15:D15"/>
    <mergeCell ref="F15:I16"/>
    <mergeCell ref="C16:D16"/>
    <mergeCell ref="C17:D17"/>
    <mergeCell ref="F17:I17"/>
    <mergeCell ref="C13:D13"/>
    <mergeCell ref="F13:I13"/>
    <mergeCell ref="B2:I2"/>
    <mergeCell ref="B3:I3"/>
    <mergeCell ref="F4:I4"/>
    <mergeCell ref="B5:D6"/>
    <mergeCell ref="F5:I5"/>
    <mergeCell ref="F6:I6"/>
    <mergeCell ref="B7:D8"/>
    <mergeCell ref="F7:I7"/>
    <mergeCell ref="E8:E10"/>
    <mergeCell ref="F8:I8"/>
    <mergeCell ref="B10:D10"/>
  </mergeCells>
  <phoneticPr fontId="4"/>
  <conditionalFormatting sqref="B27 D27 D31:D40 F27:I40 B29 B31:B40">
    <cfRule type="expression" dxfId="27" priority="6">
      <formula>MOD(ROW(),2)=1</formula>
    </cfRule>
  </conditionalFormatting>
  <conditionalFormatting sqref="B28">
    <cfRule type="expression" dxfId="26" priority="5">
      <formula>MOD(ROW(),2)=1</formula>
    </cfRule>
  </conditionalFormatting>
  <conditionalFormatting sqref="D28">
    <cfRule type="expression" dxfId="25" priority="4">
      <formula>MOD(ROW(),2)=1</formula>
    </cfRule>
  </conditionalFormatting>
  <conditionalFormatting sqref="D29">
    <cfRule type="expression" dxfId="24" priority="3">
      <formula>MOD(ROW(),2)=1</formula>
    </cfRule>
  </conditionalFormatting>
  <conditionalFormatting sqref="D30">
    <cfRule type="expression" dxfId="23" priority="2">
      <formula>MOD(ROW(),2)=1</formula>
    </cfRule>
  </conditionalFormatting>
  <conditionalFormatting sqref="B30">
    <cfRule type="expression" dxfId="22" priority="1">
      <formula>MOD(ROW(),2)=1</formula>
    </cfRule>
  </conditionalFormatting>
  <printOptions horizontalCentered="1"/>
  <pageMargins left="0.94488188976377963" right="0.47244094488188981" top="0.59055118110236227" bottom="0.59055118110236227" header="0.31496062992125984" footer="0.19685039370078741"/>
  <pageSetup paperSize="9" scale="94" orientation="portrait" horizontalDpi="4294967293"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428C0-8DA1-4356-AB41-F9BC3EB91BF5}">
  <sheetPr codeName="Sheet13">
    <pageSetUpPr fitToPage="1"/>
  </sheetPr>
  <dimension ref="A2:I53"/>
  <sheetViews>
    <sheetView showGridLines="0" view="pageBreakPreview" zoomScaleNormal="100" zoomScaleSheetLayoutView="100" workbookViewId="0">
      <selection activeCell="F19" sqref="F19"/>
    </sheetView>
  </sheetViews>
  <sheetFormatPr defaultColWidth="3.125" defaultRowHeight="13.5" customHeight="1" x14ac:dyDescent="0.15"/>
  <cols>
    <col min="1" max="1" width="7.625" style="1" customWidth="1"/>
    <col min="2" max="2" width="13.875" style="1" customWidth="1"/>
    <col min="3" max="3" width="23.25" style="1" customWidth="1"/>
    <col min="4" max="4" width="11.125" style="1" customWidth="1"/>
    <col min="5" max="5" width="11.625" style="1" customWidth="1"/>
    <col min="6" max="6" width="11.125" style="1" customWidth="1"/>
    <col min="7" max="7" width="6.625" style="1" customWidth="1"/>
    <col min="8" max="8" width="6.125" style="1" customWidth="1"/>
    <col min="9" max="9" width="12.25" style="1" customWidth="1"/>
    <col min="10" max="16384" width="3.125" style="1"/>
  </cols>
  <sheetData>
    <row r="2" spans="2:9" ht="13.5" customHeight="1" x14ac:dyDescent="0.15">
      <c r="B2" s="158"/>
      <c r="C2" s="158"/>
      <c r="D2" s="158"/>
      <c r="E2" s="158"/>
      <c r="F2" s="158"/>
      <c r="G2" s="158"/>
      <c r="H2" s="158"/>
      <c r="I2" s="158"/>
    </row>
    <row r="3" spans="2:9" s="2" customFormat="1" ht="36.75" customHeight="1" x14ac:dyDescent="0.55000000000000004">
      <c r="B3" s="192" t="s">
        <v>22</v>
      </c>
      <c r="C3" s="192"/>
      <c r="D3" s="192"/>
      <c r="E3" s="192"/>
      <c r="F3" s="192"/>
      <c r="G3" s="192"/>
      <c r="H3" s="192"/>
      <c r="I3" s="192"/>
    </row>
    <row r="4" spans="2:9" ht="15" customHeight="1" x14ac:dyDescent="0.15">
      <c r="F4" s="193"/>
      <c r="G4" s="193"/>
      <c r="H4" s="193"/>
      <c r="I4" s="193"/>
    </row>
    <row r="5" spans="2:9" ht="13.5" customHeight="1" x14ac:dyDescent="0.15">
      <c r="B5" s="194" t="str">
        <f>VLOOKUP(F5,請求書履歴!$A$2:$E$40,3,FALSE)</f>
        <v>女性共同法律事務所</v>
      </c>
      <c r="C5" s="194"/>
      <c r="D5" s="194"/>
      <c r="E5" s="117"/>
      <c r="F5" s="195">
        <v>20200007</v>
      </c>
      <c r="G5" s="195"/>
      <c r="H5" s="195"/>
      <c r="I5" s="195"/>
    </row>
    <row r="6" spans="2:9" ht="13.5" customHeight="1" x14ac:dyDescent="0.15">
      <c r="B6" s="194"/>
      <c r="C6" s="194"/>
      <c r="D6" s="194"/>
      <c r="F6" s="196">
        <v>44047</v>
      </c>
      <c r="G6" s="196"/>
      <c r="H6" s="196"/>
      <c r="I6" s="196"/>
    </row>
    <row r="7" spans="2:9" ht="13.5" customHeight="1" x14ac:dyDescent="0.15">
      <c r="B7" s="186" t="str">
        <f>VLOOKUP(F5,請求書履歴!$A$2:$E$40,4,FALSE)&amp; " " &amp; VLOOKUP(F5,請求書履歴!$A$2:$E$40,5,FALSE)</f>
        <v>宮地 様</v>
      </c>
      <c r="C7" s="186"/>
      <c r="D7" s="186"/>
      <c r="F7" s="187"/>
      <c r="G7" s="187"/>
      <c r="H7" s="187"/>
      <c r="I7" s="187"/>
    </row>
    <row r="8" spans="2:9" ht="13.5" customHeight="1" x14ac:dyDescent="0.15">
      <c r="B8" s="186"/>
      <c r="C8" s="186"/>
      <c r="D8" s="186"/>
      <c r="E8" s="188"/>
      <c r="F8" s="177"/>
      <c r="G8" s="177"/>
      <c r="H8" s="177"/>
      <c r="I8" s="177"/>
    </row>
    <row r="9" spans="2:9" ht="13.5" customHeight="1" x14ac:dyDescent="0.15">
      <c r="B9" s="115"/>
      <c r="C9" s="115"/>
      <c r="D9" s="115"/>
      <c r="E9" s="188"/>
      <c r="F9" s="114"/>
      <c r="G9" s="114"/>
      <c r="H9" s="114"/>
      <c r="I9" s="114"/>
    </row>
    <row r="10" spans="2:9" ht="13.5" customHeight="1" x14ac:dyDescent="0.15">
      <c r="B10" s="189"/>
      <c r="C10" s="189"/>
      <c r="D10" s="189"/>
      <c r="E10" s="188"/>
      <c r="F10" s="116"/>
      <c r="G10" s="116"/>
      <c r="H10" s="116"/>
      <c r="I10" s="116"/>
    </row>
    <row r="11" spans="2:9" ht="13.5" customHeight="1" x14ac:dyDescent="0.15">
      <c r="B11" s="28" t="s">
        <v>23</v>
      </c>
      <c r="C11" s="17"/>
      <c r="D11" s="118"/>
      <c r="E11" s="4"/>
      <c r="F11" s="29"/>
      <c r="G11" s="116"/>
      <c r="H11" s="116"/>
      <c r="I11" s="30"/>
    </row>
    <row r="12" spans="2:9" ht="13.5" customHeight="1" x14ac:dyDescent="0.15">
      <c r="B12" s="52"/>
      <c r="C12" s="52"/>
      <c r="D12" s="52"/>
      <c r="E12" s="4"/>
      <c r="F12" s="31"/>
      <c r="G12" s="31"/>
      <c r="H12" s="31"/>
      <c r="I12" s="31"/>
    </row>
    <row r="13" spans="2:9" ht="21" customHeight="1" x14ac:dyDescent="0.4">
      <c r="B13" s="43" t="s">
        <v>12</v>
      </c>
      <c r="C13" s="190" t="s">
        <v>114</v>
      </c>
      <c r="D13" s="190"/>
      <c r="E13" s="4"/>
      <c r="F13" s="191">
        <f>各種設定!C6</f>
        <v>6390223</v>
      </c>
      <c r="G13" s="191"/>
      <c r="H13" s="191"/>
      <c r="I13" s="191"/>
    </row>
    <row r="14" spans="2:9" ht="21" customHeight="1" x14ac:dyDescent="0.4">
      <c r="B14" s="43" t="s">
        <v>25</v>
      </c>
      <c r="C14" s="176">
        <f>EDATE(F6,1)</f>
        <v>44078</v>
      </c>
      <c r="D14" s="176"/>
      <c r="E14" s="4"/>
      <c r="F14" s="177" t="str">
        <f>各種設定!C7</f>
        <v>奈良県香芝市真美ヶ丘7-1-2</v>
      </c>
      <c r="G14" s="177"/>
      <c r="H14" s="177"/>
      <c r="I14" s="177"/>
    </row>
    <row r="15" spans="2:9" ht="19.5" customHeight="1" x14ac:dyDescent="0.4">
      <c r="B15" s="178" t="s">
        <v>13</v>
      </c>
      <c r="C15" s="181" t="str">
        <f>各種設定!C15&amp;" 　"&amp;各種設定!C16</f>
        <v>りそな 銀行 　香芝 支店</v>
      </c>
      <c r="D15" s="181"/>
      <c r="E15" s="117"/>
      <c r="F15" s="182" t="str">
        <f>各種設定!C10</f>
        <v>松田　ひとみ</v>
      </c>
      <c r="G15" s="182"/>
      <c r="H15" s="182"/>
      <c r="I15" s="182"/>
    </row>
    <row r="16" spans="2:9" ht="16.5" x14ac:dyDescent="0.4">
      <c r="B16" s="179"/>
      <c r="C16" s="183" t="str">
        <f>各種設定!C17</f>
        <v>普通　6275173</v>
      </c>
      <c r="D16" s="183"/>
      <c r="F16" s="182"/>
      <c r="G16" s="182"/>
      <c r="H16" s="182"/>
      <c r="I16" s="182"/>
    </row>
    <row r="17" spans="1:9" ht="16.5" customHeight="1" x14ac:dyDescent="0.4">
      <c r="B17" s="180"/>
      <c r="C17" s="184" t="str">
        <f>各種設定!C18</f>
        <v>マツダ　ヒトミ</v>
      </c>
      <c r="D17" s="184"/>
      <c r="E17" s="117"/>
      <c r="F17" s="185" t="str">
        <f>各種設定!C11</f>
        <v>090-8657-6721</v>
      </c>
      <c r="G17" s="185"/>
      <c r="H17" s="185"/>
      <c r="I17" s="185"/>
    </row>
    <row r="18" spans="1:9" ht="14.25" x14ac:dyDescent="0.15">
      <c r="B18" s="169" t="s">
        <v>14</v>
      </c>
      <c r="C18" s="171">
        <f>I43</f>
        <v>14300</v>
      </c>
      <c r="D18" s="171"/>
      <c r="E18" s="117"/>
      <c r="F18" s="172" t="str">
        <f>各種設定!C12</f>
        <v>hitomi@1103slabo.com</v>
      </c>
      <c r="G18" s="172"/>
      <c r="H18" s="172"/>
      <c r="I18" s="172"/>
    </row>
    <row r="19" spans="1:9" ht="34.5" customHeight="1" x14ac:dyDescent="0.15">
      <c r="B19" s="170"/>
      <c r="C19" s="171"/>
      <c r="D19" s="171"/>
      <c r="E19" s="117"/>
      <c r="F19" s="117"/>
      <c r="G19" s="117"/>
      <c r="H19" s="117"/>
      <c r="I19" s="117"/>
    </row>
    <row r="20" spans="1:9" ht="12.75" customHeight="1" x14ac:dyDescent="0.15">
      <c r="B20" s="17"/>
      <c r="C20" s="17"/>
      <c r="D20" s="17"/>
      <c r="E20" s="117"/>
      <c r="F20" s="117"/>
      <c r="G20" s="117"/>
      <c r="H20" s="117"/>
      <c r="I20" s="117"/>
    </row>
    <row r="21" spans="1:9" ht="13.5" customHeight="1" x14ac:dyDescent="0.15">
      <c r="B21" s="25" t="s">
        <v>0</v>
      </c>
      <c r="C21" s="25"/>
      <c r="D21" s="25"/>
      <c r="E21" s="25"/>
      <c r="F21" s="25"/>
      <c r="G21" s="25"/>
      <c r="H21" s="25"/>
      <c r="I21" s="25"/>
    </row>
    <row r="22" spans="1:9" ht="13.5" customHeight="1" x14ac:dyDescent="0.15">
      <c r="B22" s="25" t="s">
        <v>15</v>
      </c>
      <c r="C22" s="25"/>
      <c r="D22" s="25"/>
      <c r="E22" s="25"/>
      <c r="F22" s="25"/>
      <c r="G22" s="25"/>
      <c r="H22" s="25"/>
      <c r="I22" s="25"/>
    </row>
    <row r="23" spans="1:9" ht="13.5" customHeight="1" x14ac:dyDescent="0.15">
      <c r="B23" s="25"/>
      <c r="C23" s="25"/>
      <c r="D23" s="25"/>
      <c r="E23" s="25"/>
      <c r="F23" s="25"/>
      <c r="G23" s="25"/>
      <c r="H23" s="25"/>
      <c r="I23" s="25"/>
    </row>
    <row r="24" spans="1:9" ht="13.5" customHeight="1" x14ac:dyDescent="0.15">
      <c r="B24" s="25"/>
      <c r="C24" s="25"/>
      <c r="D24" s="25"/>
      <c r="E24" s="25"/>
      <c r="F24" s="25"/>
      <c r="G24" s="25"/>
      <c r="H24" s="25"/>
      <c r="I24" s="25"/>
    </row>
    <row r="25" spans="1:9" ht="13.5" customHeight="1" x14ac:dyDescent="0.15">
      <c r="B25" s="19" t="s">
        <v>1</v>
      </c>
      <c r="C25" s="18"/>
      <c r="D25" s="18"/>
      <c r="E25" s="18"/>
      <c r="F25" s="18"/>
      <c r="G25" s="18"/>
      <c r="H25" s="18"/>
      <c r="I25" s="18"/>
    </row>
    <row r="26" spans="1:9" s="44" customFormat="1" ht="20.25" customHeight="1" x14ac:dyDescent="0.15">
      <c r="A26" s="44" t="s">
        <v>18</v>
      </c>
      <c r="B26" s="173" t="s">
        <v>26</v>
      </c>
      <c r="C26" s="173"/>
      <c r="D26" s="173"/>
      <c r="E26" s="173"/>
      <c r="F26" s="45" t="s">
        <v>2</v>
      </c>
      <c r="G26" s="45" t="s">
        <v>3</v>
      </c>
      <c r="H26" s="46" t="s">
        <v>11</v>
      </c>
      <c r="I26" s="46" t="s">
        <v>4</v>
      </c>
    </row>
    <row r="27" spans="1:9" ht="20.25" customHeight="1" x14ac:dyDescent="0.15">
      <c r="A27" s="1" t="s">
        <v>20</v>
      </c>
      <c r="B27" s="174" t="str">
        <f>IF(ISBLANK($A27),"",VLOOKUP($A27,商品マスタ!$A$2:$E$7,2,FALSE))</f>
        <v>PCトラブル・メール相談</v>
      </c>
      <c r="C27" s="175"/>
      <c r="D27" s="161" t="s">
        <v>115</v>
      </c>
      <c r="E27" s="162"/>
      <c r="F27" s="11">
        <f>IF(ISBLANK($A27),"",VLOOKUP($A27,商品マスタ!$A$2:$E$7,5,FALSE))</f>
        <v>1000</v>
      </c>
      <c r="G27" s="87">
        <v>1</v>
      </c>
      <c r="H27" s="47" t="str">
        <f>IF(ISBLANK($A27),"",VLOOKUP($A27,商品マスタ!$A$2:$E$7,4,FALSE))</f>
        <v>案件</v>
      </c>
      <c r="I27" s="13">
        <f>IF(G27="","",F27*G27)</f>
        <v>1000</v>
      </c>
    </row>
    <row r="28" spans="1:9" ht="20.25" customHeight="1" x14ac:dyDescent="0.15">
      <c r="A28" s="1" t="s">
        <v>29</v>
      </c>
      <c r="B28" s="229" t="s">
        <v>113</v>
      </c>
      <c r="C28" s="230"/>
      <c r="D28" s="161" t="str">
        <f>IF(ISBLANK($A28),"",VLOOKUP($A28,商品マスタ!$A$2:$E$7,3,FALSE))</f>
        <v>メール内容調査、原因対応資料作成</v>
      </c>
      <c r="E28" s="162"/>
      <c r="F28" s="11">
        <f>IF(ISBLANK($A28),"",VLOOKUP($A28,商品マスタ!$A$2:$E$7,5,FALSE))</f>
        <v>2000</v>
      </c>
      <c r="G28" s="87">
        <v>6</v>
      </c>
      <c r="H28" s="47" t="str">
        <f>IF(ISBLANK($A28),"",VLOOKUP($A28,商品マスタ!$A$2:$E$7,4,FALSE))</f>
        <v>時間</v>
      </c>
      <c r="I28" s="13">
        <f t="shared" ref="I28:I40" si="0">IF(G28="","",F28*G28)</f>
        <v>12000</v>
      </c>
    </row>
    <row r="29" spans="1:9" ht="20.25" customHeight="1" x14ac:dyDescent="0.15">
      <c r="B29" s="167" t="str">
        <f>IF(ISBLANK($A29),"",VLOOKUP($A29,商品マスタ!$A$2:$E$7,2,FALSE))</f>
        <v/>
      </c>
      <c r="C29" s="168"/>
      <c r="D29" s="161"/>
      <c r="E29" s="162"/>
      <c r="F29" s="11" t="str">
        <f>IF(ISBLANK($A29),"",VLOOKUP($A29,商品マスタ!$A$2:$E$7,5,FALSE))</f>
        <v/>
      </c>
      <c r="G29" s="87"/>
      <c r="H29" s="47" t="str">
        <f>IF(ISBLANK($A29),"",VLOOKUP($A29,商品マスタ!$A$2:$E$7,4,FALSE))</f>
        <v/>
      </c>
      <c r="I29" s="13" t="str">
        <f t="shared" si="0"/>
        <v/>
      </c>
    </row>
    <row r="30" spans="1:9" ht="20.25" customHeight="1" x14ac:dyDescent="0.15">
      <c r="B30" s="229"/>
      <c r="C30" s="230"/>
      <c r="D30" s="161" t="str">
        <f>IF(ISBLANK($A30),"",VLOOKUP($A30,商品マスタ!$A$2:$E$7,3,FALSE))</f>
        <v/>
      </c>
      <c r="E30" s="162"/>
      <c r="F30" s="11" t="str">
        <f>IF(ISBLANK($A30),"",VLOOKUP($A30,商品マスタ!$A$2:$E$7,5,FALSE))</f>
        <v/>
      </c>
      <c r="G30" s="87"/>
      <c r="H30" s="47" t="str">
        <f>IF(ISBLANK($A30),"",VLOOKUP($A30,商品マスタ!$A$2:$E$7,4,FALSE))</f>
        <v/>
      </c>
      <c r="I30" s="13" t="str">
        <f t="shared" si="0"/>
        <v/>
      </c>
    </row>
    <row r="31" spans="1:9" ht="20.25" customHeight="1" x14ac:dyDescent="0.15">
      <c r="B31" s="167" t="str">
        <f>IF(ISBLANK($A31),"",VLOOKUP($A31,商品マスタ!$A$2:$E$7,2,FALSE))</f>
        <v/>
      </c>
      <c r="C31" s="168"/>
      <c r="D31" s="161" t="str">
        <f>IF(ISBLANK($A31),"",VLOOKUP($A31,商品マスタ!$A$2:$E$7,3,FALSE))</f>
        <v/>
      </c>
      <c r="E31" s="162"/>
      <c r="F31" s="11" t="str">
        <f>IF(ISBLANK($A31),"",VLOOKUP($A31,商品マスタ!$A$2:$E$7,5,FALSE))</f>
        <v/>
      </c>
      <c r="G31" s="88"/>
      <c r="H31" s="47" t="str">
        <f>IF(ISBLANK($A31),"",VLOOKUP($A31,商品マスタ!$A$2:$E$7,4,FALSE))</f>
        <v/>
      </c>
      <c r="I31" s="13" t="str">
        <f t="shared" si="0"/>
        <v/>
      </c>
    </row>
    <row r="32" spans="1:9" ht="20.25" customHeight="1" x14ac:dyDescent="0.15">
      <c r="B32" s="159" t="str">
        <f>IF(ISBLANK($A32),"",VLOOKUP($A32,商品マスタ!$A$2:$E$7,2,FALSE))</f>
        <v/>
      </c>
      <c r="C32" s="160"/>
      <c r="D32" s="161" t="str">
        <f>IF(ISBLANK($A32),"",VLOOKUP($A32,商品マスタ!$A$2:$E$7,3,FALSE))</f>
        <v/>
      </c>
      <c r="E32" s="162"/>
      <c r="F32" s="11" t="str">
        <f>IF(ISBLANK($A32),"",VLOOKUP($A32,商品マスタ!$A$2:$E$7,5,FALSE))</f>
        <v/>
      </c>
      <c r="G32" s="88"/>
      <c r="H32" s="47" t="str">
        <f>IF(ISBLANK($A32),"",VLOOKUP($A32,商品マスタ!$A$2:$E$7,4,FALSE))</f>
        <v/>
      </c>
      <c r="I32" s="13" t="str">
        <f t="shared" si="0"/>
        <v/>
      </c>
    </row>
    <row r="33" spans="2:9" ht="20.25" customHeight="1" x14ac:dyDescent="0.15">
      <c r="B33" s="159" t="str">
        <f>IF(ISBLANK($A33),"",VLOOKUP($A33,商品マスタ!$A$2:$E$7,2,FALSE))</f>
        <v/>
      </c>
      <c r="C33" s="160"/>
      <c r="D33" s="161" t="str">
        <f>IF(ISBLANK($A33),"",VLOOKUP($A33,商品マスタ!$A$2:$E$7,3,FALSE))</f>
        <v/>
      </c>
      <c r="E33" s="162"/>
      <c r="F33" s="11" t="str">
        <f>IF(ISBLANK($A33),"",VLOOKUP($A33,商品マスタ!$A$2:$E$7,5,FALSE))</f>
        <v/>
      </c>
      <c r="G33" s="88"/>
      <c r="H33" s="47" t="str">
        <f>IF(ISBLANK($A33),"",VLOOKUP($A33,商品マスタ!$A$2:$E$7,4,FALSE))</f>
        <v/>
      </c>
      <c r="I33" s="13" t="str">
        <f t="shared" si="0"/>
        <v/>
      </c>
    </row>
    <row r="34" spans="2:9" ht="20.25" customHeight="1" x14ac:dyDescent="0.15">
      <c r="B34" s="159" t="str">
        <f>IF(ISBLANK($A34),"",VLOOKUP($A34,商品マスタ!$A$2:$E$7,2,FALSE))</f>
        <v/>
      </c>
      <c r="C34" s="160"/>
      <c r="D34" s="161" t="str">
        <f>IF(ISBLANK($A34),"",VLOOKUP($A34,商品マスタ!$A$2:$E$7,3,FALSE))</f>
        <v/>
      </c>
      <c r="E34" s="162"/>
      <c r="F34" s="11" t="str">
        <f>IF(ISBLANK($A34),"",VLOOKUP($A34,商品マスタ!$A$2:$E$7,5,FALSE))</f>
        <v/>
      </c>
      <c r="G34" s="88"/>
      <c r="H34" s="47" t="str">
        <f>IF(ISBLANK($A34),"",VLOOKUP($A34,商品マスタ!$A$2:$E$7,4,FALSE))</f>
        <v/>
      </c>
      <c r="I34" s="13" t="str">
        <f t="shared" si="0"/>
        <v/>
      </c>
    </row>
    <row r="35" spans="2:9" ht="20.25" customHeight="1" x14ac:dyDescent="0.15">
      <c r="B35" s="163" t="str">
        <f>IF(ISBLANK($A35),"",VLOOKUP($A35,商品マスタ!$A$2:$E$7,2,FALSE))</f>
        <v/>
      </c>
      <c r="C35" s="164"/>
      <c r="D35" s="165" t="str">
        <f>IF(ISBLANK($A35),"",VLOOKUP($A35,商品マスタ!$A$2:$E$7,3,FALSE))</f>
        <v/>
      </c>
      <c r="E35" s="166"/>
      <c r="F35" s="11" t="str">
        <f>IF(ISBLANK($A35),"",VLOOKUP($A35,商品マスタ!$A$2:$E$7,5,FALSE))</f>
        <v/>
      </c>
      <c r="G35" s="88"/>
      <c r="H35" s="47" t="str">
        <f>IF(ISBLANK($A35),"",VLOOKUP($A35,商品マスタ!$A$2:$E$7,4,FALSE))</f>
        <v/>
      </c>
      <c r="I35" s="13" t="str">
        <f t="shared" si="0"/>
        <v/>
      </c>
    </row>
    <row r="36" spans="2:9" ht="20.25" customHeight="1" x14ac:dyDescent="0.15">
      <c r="B36" s="163" t="str">
        <f>IF(ISBLANK($A36),"",VLOOKUP($A36,商品マスタ!$A$2:$E$7,2,FALSE))</f>
        <v/>
      </c>
      <c r="C36" s="164"/>
      <c r="D36" s="165" t="str">
        <f>IF(ISBLANK($A36),"",VLOOKUP($A36,商品マスタ!$A$2:$E$7,3,FALSE))</f>
        <v/>
      </c>
      <c r="E36" s="166"/>
      <c r="F36" s="11" t="str">
        <f>IF(ISBLANK($A36),"",VLOOKUP($A36,商品マスタ!$A$2:$E$7,5,FALSE))</f>
        <v/>
      </c>
      <c r="G36" s="88"/>
      <c r="H36" s="47" t="str">
        <f>IF(ISBLANK($A36),"",VLOOKUP($A36,商品マスタ!$A$2:$E$7,4,FALSE))</f>
        <v/>
      </c>
      <c r="I36" s="13" t="str">
        <f t="shared" si="0"/>
        <v/>
      </c>
    </row>
    <row r="37" spans="2:9" ht="20.25" customHeight="1" x14ac:dyDescent="0.15">
      <c r="B37" s="159" t="str">
        <f>IF(ISBLANK($A37),"",VLOOKUP($A37,商品マスタ!$A$2:$E$7,2,FALSE))</f>
        <v/>
      </c>
      <c r="C37" s="160"/>
      <c r="D37" s="161" t="str">
        <f>IF(ISBLANK($A37),"",VLOOKUP($A37,商品マスタ!$A$2:$E$7,3,FALSE))</f>
        <v/>
      </c>
      <c r="E37" s="162"/>
      <c r="F37" s="11" t="str">
        <f>IF(ISBLANK($A37),"",VLOOKUP($A37,商品マスタ!$A$2:$E$7,5,FALSE))</f>
        <v/>
      </c>
      <c r="G37" s="88"/>
      <c r="H37" s="47" t="str">
        <f>IF(ISBLANK($A37),"",VLOOKUP($A37,商品マスタ!$A$2:$E$7,4,FALSE))</f>
        <v/>
      </c>
      <c r="I37" s="13" t="str">
        <f t="shared" si="0"/>
        <v/>
      </c>
    </row>
    <row r="38" spans="2:9" ht="20.25" customHeight="1" x14ac:dyDescent="0.15">
      <c r="B38" s="159" t="str">
        <f>IF(ISBLANK($A38),"",VLOOKUP($A38,商品マスタ!$A$2:$E$7,2,FALSE))</f>
        <v/>
      </c>
      <c r="C38" s="160"/>
      <c r="D38" s="161" t="str">
        <f>IF(ISBLANK($A38),"",VLOOKUP($A38,商品マスタ!$A$2:$E$7,3,FALSE))</f>
        <v/>
      </c>
      <c r="E38" s="162"/>
      <c r="F38" s="11" t="str">
        <f>IF(ISBLANK($A38),"",VLOOKUP($A38,商品マスタ!$A$2:$E$7,5,FALSE))</f>
        <v/>
      </c>
      <c r="G38" s="89"/>
      <c r="H38" s="47" t="str">
        <f>IF(ISBLANK($A38),"",VLOOKUP($A38,商品マスタ!$A$2:$E$7,4,FALSE))</f>
        <v/>
      </c>
      <c r="I38" s="13" t="str">
        <f t="shared" si="0"/>
        <v/>
      </c>
    </row>
    <row r="39" spans="2:9" ht="20.25" customHeight="1" x14ac:dyDescent="0.15">
      <c r="B39" s="159" t="str">
        <f>IF(ISBLANK($A39),"",VLOOKUP($A39,商品マスタ!$A$2:$E$7,2,FALSE))</f>
        <v/>
      </c>
      <c r="C39" s="160"/>
      <c r="D39" s="161" t="str">
        <f>IF(ISBLANK($A39),"",VLOOKUP($A39,商品マスタ!$A$2:$E$7,3,FALSE))</f>
        <v/>
      </c>
      <c r="E39" s="162"/>
      <c r="F39" s="11" t="str">
        <f>IF(ISBLANK($A39),"",VLOOKUP($A39,商品マスタ!$A$2:$E$7,5,FALSE))</f>
        <v/>
      </c>
      <c r="G39" s="89"/>
      <c r="H39" s="47" t="str">
        <f>IF(ISBLANK($A39),"",VLOOKUP($A39,商品マスタ!$A$2:$E$7,4,FALSE))</f>
        <v/>
      </c>
      <c r="I39" s="13" t="str">
        <f t="shared" si="0"/>
        <v/>
      </c>
    </row>
    <row r="40" spans="2:9" ht="20.25" customHeight="1" x14ac:dyDescent="0.15">
      <c r="B40" s="151" t="str">
        <f>IF(ISBLANK($A40),"",VLOOKUP($A40,商品マスタ!$A$2:$E$7,2,FALSE))</f>
        <v/>
      </c>
      <c r="C40" s="152"/>
      <c r="D40" s="153" t="str">
        <f>IF(ISBLANK($A40),"",VLOOKUP($A40,商品マスタ!$A$2:$E$7,3,FALSE))</f>
        <v/>
      </c>
      <c r="E40" s="154"/>
      <c r="F40" s="11" t="str">
        <f>IF(ISBLANK($A40),"",VLOOKUP($A40,商品マスタ!$A$2:$E$7,5,FALSE))</f>
        <v/>
      </c>
      <c r="G40" s="90"/>
      <c r="H40" s="47" t="str">
        <f>IF(ISBLANK($A40),"",VLOOKUP($A40,商品マスタ!$A$2:$E$7,4,FALSE))</f>
        <v/>
      </c>
      <c r="I40" s="58" t="str">
        <f t="shared" si="0"/>
        <v/>
      </c>
    </row>
    <row r="41" spans="2:9" ht="18.75" customHeight="1" x14ac:dyDescent="0.15">
      <c r="F41" s="155" t="s">
        <v>5</v>
      </c>
      <c r="G41" s="155"/>
      <c r="H41" s="155"/>
      <c r="I41" s="50">
        <f>SUM(I27:I40)</f>
        <v>13000</v>
      </c>
    </row>
    <row r="42" spans="2:9" ht="18.75" customHeight="1" x14ac:dyDescent="0.15">
      <c r="F42" s="156" t="s">
        <v>6</v>
      </c>
      <c r="G42" s="156"/>
      <c r="H42" s="156"/>
      <c r="I42" s="50">
        <f>I41*各種設定!C2</f>
        <v>1300</v>
      </c>
    </row>
    <row r="43" spans="2:9" ht="18.75" customHeight="1" thickBot="1" x14ac:dyDescent="0.2">
      <c r="F43" s="157" t="s">
        <v>7</v>
      </c>
      <c r="G43" s="157"/>
      <c r="H43" s="157"/>
      <c r="I43" s="51">
        <f>SUM(I41:I42)</f>
        <v>14300</v>
      </c>
    </row>
    <row r="44" spans="2:9" ht="13.5" customHeight="1" thickTop="1" x14ac:dyDescent="0.15"/>
    <row r="45" spans="2:9" ht="13.5" customHeight="1" x14ac:dyDescent="0.15">
      <c r="B45" s="19" t="s">
        <v>8</v>
      </c>
      <c r="C45" s="6"/>
      <c r="D45" s="6"/>
      <c r="E45" s="6"/>
      <c r="F45" s="6"/>
      <c r="G45" s="6"/>
      <c r="H45" s="6"/>
      <c r="I45" s="6"/>
    </row>
    <row r="46" spans="2:9" ht="4.5" customHeight="1" x14ac:dyDescent="0.15">
      <c r="B46" s="20"/>
      <c r="C46" s="7"/>
      <c r="D46" s="7"/>
      <c r="E46" s="7"/>
      <c r="F46" s="7"/>
    </row>
    <row r="47" spans="2:9" ht="13.5" customHeight="1" x14ac:dyDescent="0.15">
      <c r="B47" s="17"/>
    </row>
    <row r="48" spans="2:9" ht="13.5" customHeight="1" x14ac:dyDescent="0.15">
      <c r="B48" s="17"/>
    </row>
    <row r="49" spans="2:9" ht="13.5" customHeight="1" x14ac:dyDescent="0.15">
      <c r="B49" s="17"/>
    </row>
    <row r="50" spans="2:9" ht="13.5" customHeight="1" x14ac:dyDescent="0.15">
      <c r="B50" s="17"/>
    </row>
    <row r="51" spans="2:9" ht="13.5" customHeight="1" x14ac:dyDescent="0.15">
      <c r="B51" s="17"/>
    </row>
    <row r="52" spans="2:9" ht="13.5" customHeight="1" x14ac:dyDescent="0.15">
      <c r="B52" s="17"/>
    </row>
    <row r="53" spans="2:9" ht="13.5" customHeight="1" x14ac:dyDescent="0.15">
      <c r="B53" s="158"/>
      <c r="C53" s="158"/>
      <c r="D53" s="158"/>
      <c r="E53" s="158"/>
      <c r="F53" s="158"/>
      <c r="G53" s="158"/>
      <c r="H53" s="158"/>
      <c r="I53" s="158"/>
    </row>
  </sheetData>
  <mergeCells count="57">
    <mergeCell ref="C13:D13"/>
    <mergeCell ref="F13:I13"/>
    <mergeCell ref="B2:I2"/>
    <mergeCell ref="B3:I3"/>
    <mergeCell ref="F4:I4"/>
    <mergeCell ref="B5:D6"/>
    <mergeCell ref="F5:I5"/>
    <mergeCell ref="F6:I6"/>
    <mergeCell ref="B7:D8"/>
    <mergeCell ref="F7:I7"/>
    <mergeCell ref="E8:E10"/>
    <mergeCell ref="F8:I8"/>
    <mergeCell ref="B10:D10"/>
    <mergeCell ref="C14:D14"/>
    <mergeCell ref="F14:I14"/>
    <mergeCell ref="B15:B17"/>
    <mergeCell ref="C15:D15"/>
    <mergeCell ref="F15:I16"/>
    <mergeCell ref="C16:D16"/>
    <mergeCell ref="C17:D17"/>
    <mergeCell ref="F17:I17"/>
    <mergeCell ref="B18:B19"/>
    <mergeCell ref="C18:D19"/>
    <mergeCell ref="F18:I18"/>
    <mergeCell ref="B26:E26"/>
    <mergeCell ref="B27:C27"/>
    <mergeCell ref="D27:E27"/>
    <mergeCell ref="B28:C28"/>
    <mergeCell ref="D28:E28"/>
    <mergeCell ref="B29:C29"/>
    <mergeCell ref="D29:E29"/>
    <mergeCell ref="B30:C30"/>
    <mergeCell ref="D30:E30"/>
    <mergeCell ref="B31:C31"/>
    <mergeCell ref="D31:E31"/>
    <mergeCell ref="B32:C32"/>
    <mergeCell ref="D32:E32"/>
    <mergeCell ref="B33:C33"/>
    <mergeCell ref="D33:E33"/>
    <mergeCell ref="B34:C34"/>
    <mergeCell ref="D34:E34"/>
    <mergeCell ref="B35:C35"/>
    <mergeCell ref="D35:E35"/>
    <mergeCell ref="B36:C36"/>
    <mergeCell ref="D36:E36"/>
    <mergeCell ref="B53:I53"/>
    <mergeCell ref="B37:C37"/>
    <mergeCell ref="D37:E37"/>
    <mergeCell ref="B38:C38"/>
    <mergeCell ref="D38:E38"/>
    <mergeCell ref="B39:C39"/>
    <mergeCell ref="D39:E39"/>
    <mergeCell ref="B40:C40"/>
    <mergeCell ref="D40:E40"/>
    <mergeCell ref="F41:H41"/>
    <mergeCell ref="F42:H42"/>
    <mergeCell ref="F43:H43"/>
  </mergeCells>
  <phoneticPr fontId="4"/>
  <conditionalFormatting sqref="B27 D27 D29:D40 F27:I40 B29:B40">
    <cfRule type="expression" dxfId="21" priority="4">
      <formula>MOD(ROW(),2)=1</formula>
    </cfRule>
  </conditionalFormatting>
  <conditionalFormatting sqref="B28">
    <cfRule type="expression" dxfId="20" priority="2">
      <formula>MOD(ROW(),2)=1</formula>
    </cfRule>
  </conditionalFormatting>
  <conditionalFormatting sqref="D28">
    <cfRule type="expression" dxfId="19" priority="1">
      <formula>MOD(ROW(),2)=1</formula>
    </cfRule>
  </conditionalFormatting>
  <printOptions horizontalCentered="1"/>
  <pageMargins left="0.94488188976377963" right="0.47244094488188981" top="0.59055118110236227" bottom="0.59055118110236227" header="0.31496062992125984" footer="0.19685039370078741"/>
  <pageSetup paperSize="9" scale="92" orientation="portrait" horizontalDpi="4294967293"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7FE36-FE96-4ECF-91A7-51E0BACC1EB5}">
  <sheetPr codeName="Sheet14">
    <pageSetUpPr fitToPage="1"/>
  </sheetPr>
  <dimension ref="A2:I53"/>
  <sheetViews>
    <sheetView showGridLines="0" view="pageBreakPreview" topLeftCell="A13" zoomScaleNormal="100" zoomScaleSheetLayoutView="100" workbookViewId="0">
      <selection activeCell="D35" sqref="D35:E35"/>
    </sheetView>
  </sheetViews>
  <sheetFormatPr defaultColWidth="3.125" defaultRowHeight="13.5" customHeight="1" x14ac:dyDescent="0.15"/>
  <cols>
    <col min="1" max="1" width="7.625" style="1" customWidth="1"/>
    <col min="2" max="2" width="13.875" style="1" customWidth="1"/>
    <col min="3" max="3" width="23.25" style="1" customWidth="1"/>
    <col min="4" max="4" width="11.125" style="1" customWidth="1"/>
    <col min="5" max="5" width="11.625" style="1" customWidth="1"/>
    <col min="6" max="6" width="11.125" style="1" customWidth="1"/>
    <col min="7" max="7" width="6.625" style="1" customWidth="1"/>
    <col min="8" max="8" width="6.125" style="1" customWidth="1"/>
    <col min="9" max="9" width="12.25" style="1" customWidth="1"/>
    <col min="10" max="16384" width="3.125" style="1"/>
  </cols>
  <sheetData>
    <row r="2" spans="2:9" ht="13.5" customHeight="1" x14ac:dyDescent="0.15">
      <c r="B2" s="158"/>
      <c r="C2" s="158"/>
      <c r="D2" s="158"/>
      <c r="E2" s="158"/>
      <c r="F2" s="158"/>
      <c r="G2" s="158"/>
      <c r="H2" s="158"/>
      <c r="I2" s="158"/>
    </row>
    <row r="3" spans="2:9" s="2" customFormat="1" ht="36.75" customHeight="1" x14ac:dyDescent="0.55000000000000004">
      <c r="B3" s="192" t="s">
        <v>22</v>
      </c>
      <c r="C3" s="192"/>
      <c r="D3" s="192"/>
      <c r="E3" s="192"/>
      <c r="F3" s="192"/>
      <c r="G3" s="192"/>
      <c r="H3" s="192"/>
      <c r="I3" s="192"/>
    </row>
    <row r="4" spans="2:9" ht="15" customHeight="1" x14ac:dyDescent="0.15">
      <c r="F4" s="193"/>
      <c r="G4" s="193"/>
      <c r="H4" s="193"/>
      <c r="I4" s="193"/>
    </row>
    <row r="5" spans="2:9" ht="13.5" customHeight="1" x14ac:dyDescent="0.15">
      <c r="B5" s="194" t="str">
        <f>VLOOKUP(F5,請求書履歴!$A$2:$E$40,3,FALSE)</f>
        <v>女性共同法律事務所</v>
      </c>
      <c r="C5" s="194"/>
      <c r="D5" s="194"/>
      <c r="E5" s="108"/>
      <c r="F5" s="195">
        <v>20200006</v>
      </c>
      <c r="G5" s="195"/>
      <c r="H5" s="195"/>
      <c r="I5" s="195"/>
    </row>
    <row r="6" spans="2:9" ht="13.5" customHeight="1" x14ac:dyDescent="0.15">
      <c r="B6" s="194"/>
      <c r="C6" s="194"/>
      <c r="D6" s="194"/>
      <c r="F6" s="196">
        <v>43984</v>
      </c>
      <c r="G6" s="196"/>
      <c r="H6" s="196"/>
      <c r="I6" s="196"/>
    </row>
    <row r="7" spans="2:9" ht="13.5" customHeight="1" x14ac:dyDescent="0.15">
      <c r="B7" s="186" t="str">
        <f>VLOOKUP(F5,請求書履歴!$A$2:$E$40,4,FALSE)&amp; " " &amp; VLOOKUP(F5,請求書履歴!$A$2:$E$40,5,FALSE)</f>
        <v>宮地 様</v>
      </c>
      <c r="C7" s="186"/>
      <c r="D7" s="186"/>
      <c r="F7" s="187"/>
      <c r="G7" s="187"/>
      <c r="H7" s="187"/>
      <c r="I7" s="187"/>
    </row>
    <row r="8" spans="2:9" ht="13.5" customHeight="1" x14ac:dyDescent="0.15">
      <c r="B8" s="186"/>
      <c r="C8" s="186"/>
      <c r="D8" s="186"/>
      <c r="E8" s="188"/>
      <c r="F8" s="177"/>
      <c r="G8" s="177"/>
      <c r="H8" s="177"/>
      <c r="I8" s="177"/>
    </row>
    <row r="9" spans="2:9" ht="13.5" customHeight="1" x14ac:dyDescent="0.15">
      <c r="B9" s="106"/>
      <c r="C9" s="106"/>
      <c r="D9" s="106"/>
      <c r="E9" s="188"/>
      <c r="F9" s="109"/>
      <c r="G9" s="109"/>
      <c r="H9" s="109"/>
      <c r="I9" s="109"/>
    </row>
    <row r="10" spans="2:9" ht="13.5" customHeight="1" x14ac:dyDescent="0.15">
      <c r="B10" s="189"/>
      <c r="C10" s="189"/>
      <c r="D10" s="189"/>
      <c r="E10" s="188"/>
      <c r="F10" s="107"/>
      <c r="G10" s="107"/>
      <c r="H10" s="107"/>
      <c r="I10" s="107"/>
    </row>
    <row r="11" spans="2:9" ht="13.5" customHeight="1" x14ac:dyDescent="0.15">
      <c r="B11" s="28" t="s">
        <v>23</v>
      </c>
      <c r="C11" s="17"/>
      <c r="D11" s="110"/>
      <c r="E11" s="4"/>
      <c r="F11" s="29"/>
      <c r="G11" s="107"/>
      <c r="H11" s="107"/>
      <c r="I11" s="30"/>
    </row>
    <row r="12" spans="2:9" ht="13.5" customHeight="1" x14ac:dyDescent="0.15">
      <c r="B12" s="52"/>
      <c r="C12" s="52"/>
      <c r="D12" s="52"/>
      <c r="E12" s="4"/>
      <c r="F12" s="31"/>
      <c r="G12" s="31"/>
      <c r="H12" s="31"/>
      <c r="I12" s="31"/>
    </row>
    <row r="13" spans="2:9" ht="21" customHeight="1" x14ac:dyDescent="0.4">
      <c r="B13" s="43" t="s">
        <v>12</v>
      </c>
      <c r="C13" s="190" t="s">
        <v>108</v>
      </c>
      <c r="D13" s="190"/>
      <c r="E13" s="4"/>
      <c r="F13" s="191">
        <f>各種設定!C6</f>
        <v>6390223</v>
      </c>
      <c r="G13" s="191"/>
      <c r="H13" s="191"/>
      <c r="I13" s="191"/>
    </row>
    <row r="14" spans="2:9" ht="21" customHeight="1" x14ac:dyDescent="0.4">
      <c r="B14" s="43" t="s">
        <v>25</v>
      </c>
      <c r="C14" s="176">
        <f>EDATE(F6,1)</f>
        <v>44014</v>
      </c>
      <c r="D14" s="176"/>
      <c r="E14" s="4"/>
      <c r="F14" s="177" t="str">
        <f>各種設定!C7</f>
        <v>奈良県香芝市真美ヶ丘7-1-2</v>
      </c>
      <c r="G14" s="177"/>
      <c r="H14" s="177"/>
      <c r="I14" s="177"/>
    </row>
    <row r="15" spans="2:9" ht="19.5" customHeight="1" x14ac:dyDescent="0.4">
      <c r="B15" s="178" t="s">
        <v>13</v>
      </c>
      <c r="C15" s="181" t="str">
        <f>各種設定!C15&amp;" 　"&amp;各種設定!C16</f>
        <v>りそな 銀行 　香芝 支店</v>
      </c>
      <c r="D15" s="181"/>
      <c r="E15" s="108"/>
      <c r="F15" s="182" t="str">
        <f>各種設定!C10</f>
        <v>松田　ひとみ</v>
      </c>
      <c r="G15" s="182"/>
      <c r="H15" s="182"/>
      <c r="I15" s="182"/>
    </row>
    <row r="16" spans="2:9" ht="16.5" x14ac:dyDescent="0.4">
      <c r="B16" s="179"/>
      <c r="C16" s="183" t="str">
        <f>各種設定!C17</f>
        <v>普通　6275173</v>
      </c>
      <c r="D16" s="183"/>
      <c r="F16" s="182"/>
      <c r="G16" s="182"/>
      <c r="H16" s="182"/>
      <c r="I16" s="182"/>
    </row>
    <row r="17" spans="1:9" ht="16.5" customHeight="1" x14ac:dyDescent="0.4">
      <c r="B17" s="180"/>
      <c r="C17" s="184" t="str">
        <f>各種設定!C18</f>
        <v>マツダ　ヒトミ</v>
      </c>
      <c r="D17" s="184"/>
      <c r="E17" s="108"/>
      <c r="F17" s="185" t="str">
        <f>各種設定!C11</f>
        <v>090-8657-6721</v>
      </c>
      <c r="G17" s="185"/>
      <c r="H17" s="185"/>
      <c r="I17" s="185"/>
    </row>
    <row r="18" spans="1:9" ht="14.25" x14ac:dyDescent="0.15">
      <c r="B18" s="169" t="s">
        <v>14</v>
      </c>
      <c r="C18" s="171">
        <f>I43</f>
        <v>7700</v>
      </c>
      <c r="D18" s="171"/>
      <c r="E18" s="108"/>
      <c r="F18" s="172" t="str">
        <f>各種設定!C12</f>
        <v>hitomi@1103slabo.com</v>
      </c>
      <c r="G18" s="172"/>
      <c r="H18" s="172"/>
      <c r="I18" s="172"/>
    </row>
    <row r="19" spans="1:9" ht="34.5" customHeight="1" x14ac:dyDescent="0.15">
      <c r="B19" s="170"/>
      <c r="C19" s="171"/>
      <c r="D19" s="171"/>
      <c r="E19" s="108"/>
      <c r="F19" s="108"/>
      <c r="G19" s="108"/>
      <c r="H19" s="108"/>
      <c r="I19" s="108"/>
    </row>
    <row r="20" spans="1:9" ht="12.75" customHeight="1" x14ac:dyDescent="0.15">
      <c r="B20" s="17"/>
      <c r="C20" s="17"/>
      <c r="D20" s="17"/>
      <c r="E20" s="108"/>
      <c r="F20" s="108"/>
      <c r="G20" s="108"/>
      <c r="H20" s="108"/>
      <c r="I20" s="108"/>
    </row>
    <row r="21" spans="1:9" ht="13.5" customHeight="1" x14ac:dyDescent="0.15">
      <c r="B21" s="25" t="s">
        <v>0</v>
      </c>
      <c r="C21" s="25"/>
      <c r="D21" s="25"/>
      <c r="E21" s="25"/>
      <c r="F21" s="25"/>
      <c r="G21" s="25"/>
      <c r="H21" s="25"/>
      <c r="I21" s="25"/>
    </row>
    <row r="22" spans="1:9" ht="13.5" customHeight="1" x14ac:dyDescent="0.15">
      <c r="B22" s="25" t="s">
        <v>15</v>
      </c>
      <c r="C22" s="25"/>
      <c r="D22" s="25"/>
      <c r="E22" s="25"/>
      <c r="F22" s="25"/>
      <c r="G22" s="25"/>
      <c r="H22" s="25"/>
      <c r="I22" s="25"/>
    </row>
    <row r="23" spans="1:9" ht="13.5" customHeight="1" x14ac:dyDescent="0.15">
      <c r="B23" s="25"/>
      <c r="C23" s="25"/>
      <c r="D23" s="25"/>
      <c r="E23" s="25"/>
      <c r="F23" s="25"/>
      <c r="G23" s="25"/>
      <c r="H23" s="25"/>
      <c r="I23" s="25"/>
    </row>
    <row r="24" spans="1:9" ht="13.5" customHeight="1" x14ac:dyDescent="0.15">
      <c r="B24" s="25"/>
      <c r="C24" s="25"/>
      <c r="D24" s="25"/>
      <c r="E24" s="25"/>
      <c r="F24" s="25"/>
      <c r="G24" s="25"/>
      <c r="H24" s="25"/>
      <c r="I24" s="25"/>
    </row>
    <row r="25" spans="1:9" ht="13.5" customHeight="1" x14ac:dyDescent="0.15">
      <c r="B25" s="19" t="s">
        <v>1</v>
      </c>
      <c r="C25" s="18"/>
      <c r="D25" s="18"/>
      <c r="E25" s="18"/>
      <c r="F25" s="18"/>
      <c r="G25" s="18"/>
      <c r="H25" s="18"/>
      <c r="I25" s="18"/>
    </row>
    <row r="26" spans="1:9" s="44" customFormat="1" ht="20.25" customHeight="1" x14ac:dyDescent="0.15">
      <c r="A26" s="44" t="s">
        <v>18</v>
      </c>
      <c r="B26" s="173" t="s">
        <v>26</v>
      </c>
      <c r="C26" s="173"/>
      <c r="D26" s="173"/>
      <c r="E26" s="173"/>
      <c r="F26" s="45" t="s">
        <v>2</v>
      </c>
      <c r="G26" s="45" t="s">
        <v>3</v>
      </c>
      <c r="H26" s="46" t="s">
        <v>11</v>
      </c>
      <c r="I26" s="46" t="s">
        <v>4</v>
      </c>
    </row>
    <row r="27" spans="1:9" ht="20.25" customHeight="1" x14ac:dyDescent="0.15">
      <c r="A27" s="1" t="s">
        <v>20</v>
      </c>
      <c r="B27" s="174" t="str">
        <f>IF(ISBLANK($A27),"",VLOOKUP($A27,商品マスタ!$A$2:$E$7,2,FALSE))</f>
        <v>PCトラブル・メール相談</v>
      </c>
      <c r="C27" s="175"/>
      <c r="D27" s="161" t="s">
        <v>110</v>
      </c>
      <c r="E27" s="162"/>
      <c r="F27" s="11">
        <f>IF(ISBLANK($A27),"",VLOOKUP($A27,商品マスタ!$A$2:$E$7,5,FALSE))</f>
        <v>1000</v>
      </c>
      <c r="G27" s="87">
        <v>1</v>
      </c>
      <c r="H27" s="47" t="str">
        <f>IF(ISBLANK($A27),"",VLOOKUP($A27,商品マスタ!$A$2:$E$7,4,FALSE))</f>
        <v>案件</v>
      </c>
      <c r="I27" s="13">
        <f>IF(G27="","",F27*G27)</f>
        <v>1000</v>
      </c>
    </row>
    <row r="28" spans="1:9" ht="20.25" customHeight="1" x14ac:dyDescent="0.15">
      <c r="A28" s="1" t="s">
        <v>20</v>
      </c>
      <c r="B28" s="167" t="str">
        <f>IF(ISBLANK($A28),"",VLOOKUP($A28,商品マスタ!$A$2:$E$7,2,FALSE))</f>
        <v>PCトラブル・メール相談</v>
      </c>
      <c r="C28" s="168"/>
      <c r="D28" s="161" t="s">
        <v>111</v>
      </c>
      <c r="E28" s="162"/>
      <c r="F28" s="11">
        <f>IF(ISBLANK($A28),"",VLOOKUP($A28,商品マスタ!$A$2:$E$7,5,FALSE))</f>
        <v>1000</v>
      </c>
      <c r="G28" s="87">
        <v>1</v>
      </c>
      <c r="H28" s="47" t="str">
        <f>IF(ISBLANK($A28),"",VLOOKUP($A28,商品マスタ!$A$2:$E$7,4,FALSE))</f>
        <v>案件</v>
      </c>
      <c r="I28" s="13">
        <f t="shared" ref="I28:I40" si="0">IF(G28="","",F28*G28)</f>
        <v>1000</v>
      </c>
    </row>
    <row r="29" spans="1:9" ht="20.25" customHeight="1" x14ac:dyDescent="0.15">
      <c r="A29" s="1" t="s">
        <v>20</v>
      </c>
      <c r="B29" s="167" t="str">
        <f>IF(ISBLANK($A29),"",VLOOKUP($A29,商品マスタ!$A$2:$E$7,2,FALSE))</f>
        <v>PCトラブル・メール相談</v>
      </c>
      <c r="C29" s="168"/>
      <c r="D29" s="161" t="s">
        <v>112</v>
      </c>
      <c r="E29" s="162"/>
      <c r="F29" s="11">
        <f>IF(ISBLANK($A29),"",VLOOKUP($A29,商品マスタ!$A$2:$E$7,5,FALSE))</f>
        <v>1000</v>
      </c>
      <c r="G29" s="87">
        <v>1</v>
      </c>
      <c r="H29" s="47" t="str">
        <f>IF(ISBLANK($A29),"",VLOOKUP($A29,商品マスタ!$A$2:$E$7,4,FALSE))</f>
        <v>案件</v>
      </c>
      <c r="I29" s="13">
        <f t="shared" si="0"/>
        <v>1000</v>
      </c>
    </row>
    <row r="30" spans="1:9" ht="20.25" customHeight="1" x14ac:dyDescent="0.15">
      <c r="A30" s="1" t="s">
        <v>29</v>
      </c>
      <c r="B30" s="229" t="s">
        <v>113</v>
      </c>
      <c r="C30" s="230"/>
      <c r="D30" s="161" t="str">
        <f>IF(ISBLANK($A30),"",VLOOKUP($A30,商品マスタ!$A$2:$E$7,3,FALSE))</f>
        <v>メール内容調査、原因対応資料作成</v>
      </c>
      <c r="E30" s="162"/>
      <c r="F30" s="11">
        <f>IF(ISBLANK($A30),"",VLOOKUP($A30,商品マスタ!$A$2:$E$7,5,FALSE))</f>
        <v>2000</v>
      </c>
      <c r="G30" s="87">
        <v>2</v>
      </c>
      <c r="H30" s="47" t="str">
        <f>IF(ISBLANK($A30),"",VLOOKUP($A30,商品マスタ!$A$2:$E$7,4,FALSE))</f>
        <v>時間</v>
      </c>
      <c r="I30" s="13">
        <f t="shared" si="0"/>
        <v>4000</v>
      </c>
    </row>
    <row r="31" spans="1:9" ht="20.25" customHeight="1" x14ac:dyDescent="0.15">
      <c r="B31" s="167" t="str">
        <f>IF(ISBLANK($A31),"",VLOOKUP($A31,商品マスタ!$A$2:$E$7,2,FALSE))</f>
        <v/>
      </c>
      <c r="C31" s="168"/>
      <c r="D31" s="161" t="str">
        <f>IF(ISBLANK($A31),"",VLOOKUP($A31,商品マスタ!$A$2:$E$7,3,FALSE))</f>
        <v/>
      </c>
      <c r="E31" s="162"/>
      <c r="F31" s="11" t="str">
        <f>IF(ISBLANK($A31),"",VLOOKUP($A31,商品マスタ!$A$2:$E$7,5,FALSE))</f>
        <v/>
      </c>
      <c r="G31" s="88"/>
      <c r="H31" s="47" t="str">
        <f>IF(ISBLANK($A31),"",VLOOKUP($A31,商品マスタ!$A$2:$E$7,4,FALSE))</f>
        <v/>
      </c>
      <c r="I31" s="13" t="str">
        <f t="shared" si="0"/>
        <v/>
      </c>
    </row>
    <row r="32" spans="1:9" ht="20.25" customHeight="1" x14ac:dyDescent="0.15">
      <c r="B32" s="159" t="str">
        <f>IF(ISBLANK($A32),"",VLOOKUP($A32,商品マスタ!$A$2:$E$7,2,FALSE))</f>
        <v/>
      </c>
      <c r="C32" s="160"/>
      <c r="D32" s="161" t="str">
        <f>IF(ISBLANK($A32),"",VLOOKUP($A32,商品マスタ!$A$2:$E$7,3,FALSE))</f>
        <v/>
      </c>
      <c r="E32" s="162"/>
      <c r="F32" s="11" t="str">
        <f>IF(ISBLANK($A32),"",VLOOKUP($A32,商品マスタ!$A$2:$E$7,5,FALSE))</f>
        <v/>
      </c>
      <c r="G32" s="88"/>
      <c r="H32" s="47" t="str">
        <f>IF(ISBLANK($A32),"",VLOOKUP($A32,商品マスタ!$A$2:$E$7,4,FALSE))</f>
        <v/>
      </c>
      <c r="I32" s="13" t="str">
        <f t="shared" si="0"/>
        <v/>
      </c>
    </row>
    <row r="33" spans="2:9" ht="20.25" customHeight="1" x14ac:dyDescent="0.15">
      <c r="B33" s="159" t="str">
        <f>IF(ISBLANK($A33),"",VLOOKUP($A33,商品マスタ!$A$2:$E$7,2,FALSE))</f>
        <v/>
      </c>
      <c r="C33" s="160"/>
      <c r="D33" s="161" t="str">
        <f>IF(ISBLANK($A33),"",VLOOKUP($A33,商品マスタ!$A$2:$E$7,3,FALSE))</f>
        <v/>
      </c>
      <c r="E33" s="162"/>
      <c r="F33" s="11" t="str">
        <f>IF(ISBLANK($A33),"",VLOOKUP($A33,商品マスタ!$A$2:$E$7,5,FALSE))</f>
        <v/>
      </c>
      <c r="G33" s="88"/>
      <c r="H33" s="47" t="str">
        <f>IF(ISBLANK($A33),"",VLOOKUP($A33,商品マスタ!$A$2:$E$7,4,FALSE))</f>
        <v/>
      </c>
      <c r="I33" s="13" t="str">
        <f t="shared" si="0"/>
        <v/>
      </c>
    </row>
    <row r="34" spans="2:9" ht="20.25" customHeight="1" x14ac:dyDescent="0.15">
      <c r="B34" s="159" t="str">
        <f>IF(ISBLANK($A34),"",VLOOKUP($A34,商品マスタ!$A$2:$E$7,2,FALSE))</f>
        <v/>
      </c>
      <c r="C34" s="160"/>
      <c r="D34" s="161" t="str">
        <f>IF(ISBLANK($A34),"",VLOOKUP($A34,商品マスタ!$A$2:$E$7,3,FALSE))</f>
        <v/>
      </c>
      <c r="E34" s="162"/>
      <c r="F34" s="11" t="str">
        <f>IF(ISBLANK($A34),"",VLOOKUP($A34,商品マスタ!$A$2:$E$7,5,FALSE))</f>
        <v/>
      </c>
      <c r="G34" s="88"/>
      <c r="H34" s="47" t="str">
        <f>IF(ISBLANK($A34),"",VLOOKUP($A34,商品マスタ!$A$2:$E$7,4,FALSE))</f>
        <v/>
      </c>
      <c r="I34" s="13" t="str">
        <f t="shared" si="0"/>
        <v/>
      </c>
    </row>
    <row r="35" spans="2:9" ht="20.25" customHeight="1" x14ac:dyDescent="0.15">
      <c r="B35" s="163" t="str">
        <f>IF(ISBLANK($A35),"",VLOOKUP($A35,商品マスタ!$A$2:$E$7,2,FALSE))</f>
        <v/>
      </c>
      <c r="C35" s="164"/>
      <c r="D35" s="165" t="str">
        <f>IF(ISBLANK($A35),"",VLOOKUP($A35,商品マスタ!$A$2:$E$7,3,FALSE))</f>
        <v/>
      </c>
      <c r="E35" s="166"/>
      <c r="F35" s="11" t="str">
        <f>IF(ISBLANK($A35),"",VLOOKUP($A35,商品マスタ!$A$2:$E$7,5,FALSE))</f>
        <v/>
      </c>
      <c r="G35" s="88"/>
      <c r="H35" s="47" t="str">
        <f>IF(ISBLANK($A35),"",VLOOKUP($A35,商品マスタ!$A$2:$E$7,4,FALSE))</f>
        <v/>
      </c>
      <c r="I35" s="13" t="str">
        <f t="shared" si="0"/>
        <v/>
      </c>
    </row>
    <row r="36" spans="2:9" ht="20.25" customHeight="1" x14ac:dyDescent="0.15">
      <c r="B36" s="163" t="str">
        <f>IF(ISBLANK($A36),"",VLOOKUP($A36,商品マスタ!$A$2:$E$7,2,FALSE))</f>
        <v/>
      </c>
      <c r="C36" s="164"/>
      <c r="D36" s="165" t="str">
        <f>IF(ISBLANK($A36),"",VLOOKUP($A36,商品マスタ!$A$2:$E$7,3,FALSE))</f>
        <v/>
      </c>
      <c r="E36" s="166"/>
      <c r="F36" s="11" t="str">
        <f>IF(ISBLANK($A36),"",VLOOKUP($A36,商品マスタ!$A$2:$E$7,5,FALSE))</f>
        <v/>
      </c>
      <c r="G36" s="88"/>
      <c r="H36" s="47" t="str">
        <f>IF(ISBLANK($A36),"",VLOOKUP($A36,商品マスタ!$A$2:$E$7,4,FALSE))</f>
        <v/>
      </c>
      <c r="I36" s="13" t="str">
        <f t="shared" si="0"/>
        <v/>
      </c>
    </row>
    <row r="37" spans="2:9" ht="20.25" customHeight="1" x14ac:dyDescent="0.15">
      <c r="B37" s="159" t="str">
        <f>IF(ISBLANK($A37),"",VLOOKUP($A37,商品マスタ!$A$2:$E$7,2,FALSE))</f>
        <v/>
      </c>
      <c r="C37" s="160"/>
      <c r="D37" s="161" t="str">
        <f>IF(ISBLANK($A37),"",VLOOKUP($A37,商品マスタ!$A$2:$E$7,3,FALSE))</f>
        <v/>
      </c>
      <c r="E37" s="162"/>
      <c r="F37" s="11" t="str">
        <f>IF(ISBLANK($A37),"",VLOOKUP($A37,商品マスタ!$A$2:$E$7,5,FALSE))</f>
        <v/>
      </c>
      <c r="G37" s="88"/>
      <c r="H37" s="47" t="str">
        <f>IF(ISBLANK($A37),"",VLOOKUP($A37,商品マスタ!$A$2:$E$7,4,FALSE))</f>
        <v/>
      </c>
      <c r="I37" s="13" t="str">
        <f t="shared" si="0"/>
        <v/>
      </c>
    </row>
    <row r="38" spans="2:9" ht="20.25" customHeight="1" x14ac:dyDescent="0.15">
      <c r="B38" s="159" t="str">
        <f>IF(ISBLANK($A38),"",VLOOKUP($A38,商品マスタ!$A$2:$E$7,2,FALSE))</f>
        <v/>
      </c>
      <c r="C38" s="160"/>
      <c r="D38" s="161" t="str">
        <f>IF(ISBLANK($A38),"",VLOOKUP($A38,商品マスタ!$A$2:$E$7,3,FALSE))</f>
        <v/>
      </c>
      <c r="E38" s="162"/>
      <c r="F38" s="11" t="str">
        <f>IF(ISBLANK($A38),"",VLOOKUP($A38,商品マスタ!$A$2:$E$7,5,FALSE))</f>
        <v/>
      </c>
      <c r="G38" s="89"/>
      <c r="H38" s="47" t="str">
        <f>IF(ISBLANK($A38),"",VLOOKUP($A38,商品マスタ!$A$2:$E$7,4,FALSE))</f>
        <v/>
      </c>
      <c r="I38" s="13" t="str">
        <f t="shared" si="0"/>
        <v/>
      </c>
    </row>
    <row r="39" spans="2:9" ht="20.25" customHeight="1" x14ac:dyDescent="0.15">
      <c r="B39" s="159" t="str">
        <f>IF(ISBLANK($A39),"",VLOOKUP($A39,商品マスタ!$A$2:$E$7,2,FALSE))</f>
        <v/>
      </c>
      <c r="C39" s="160"/>
      <c r="D39" s="161" t="str">
        <f>IF(ISBLANK($A39),"",VLOOKUP($A39,商品マスタ!$A$2:$E$7,3,FALSE))</f>
        <v/>
      </c>
      <c r="E39" s="162"/>
      <c r="F39" s="11" t="str">
        <f>IF(ISBLANK($A39),"",VLOOKUP($A39,商品マスタ!$A$2:$E$7,5,FALSE))</f>
        <v/>
      </c>
      <c r="G39" s="89"/>
      <c r="H39" s="47" t="str">
        <f>IF(ISBLANK($A39),"",VLOOKUP($A39,商品マスタ!$A$2:$E$7,4,FALSE))</f>
        <v/>
      </c>
      <c r="I39" s="13" t="str">
        <f t="shared" si="0"/>
        <v/>
      </c>
    </row>
    <row r="40" spans="2:9" ht="20.25" customHeight="1" x14ac:dyDescent="0.15">
      <c r="B40" s="151" t="str">
        <f>IF(ISBLANK($A40),"",VLOOKUP($A40,商品マスタ!$A$2:$E$7,2,FALSE))</f>
        <v/>
      </c>
      <c r="C40" s="152"/>
      <c r="D40" s="153" t="str">
        <f>IF(ISBLANK($A40),"",VLOOKUP($A40,商品マスタ!$A$2:$E$7,3,FALSE))</f>
        <v/>
      </c>
      <c r="E40" s="154"/>
      <c r="F40" s="11" t="str">
        <f>IF(ISBLANK($A40),"",VLOOKUP($A40,商品マスタ!$A$2:$E$7,5,FALSE))</f>
        <v/>
      </c>
      <c r="G40" s="90"/>
      <c r="H40" s="47" t="str">
        <f>IF(ISBLANK($A40),"",VLOOKUP($A40,商品マスタ!$A$2:$E$7,4,FALSE))</f>
        <v/>
      </c>
      <c r="I40" s="58" t="str">
        <f t="shared" si="0"/>
        <v/>
      </c>
    </row>
    <row r="41" spans="2:9" ht="18.75" customHeight="1" x14ac:dyDescent="0.15">
      <c r="F41" s="155" t="s">
        <v>5</v>
      </c>
      <c r="G41" s="155"/>
      <c r="H41" s="155"/>
      <c r="I41" s="50">
        <f>SUM(I27:I40)</f>
        <v>7000</v>
      </c>
    </row>
    <row r="42" spans="2:9" ht="18.75" customHeight="1" x14ac:dyDescent="0.15">
      <c r="F42" s="156" t="s">
        <v>6</v>
      </c>
      <c r="G42" s="156"/>
      <c r="H42" s="156"/>
      <c r="I42" s="50">
        <f>I41*各種設定!C2</f>
        <v>700</v>
      </c>
    </row>
    <row r="43" spans="2:9" ht="18.75" customHeight="1" thickBot="1" x14ac:dyDescent="0.2">
      <c r="F43" s="157" t="s">
        <v>7</v>
      </c>
      <c r="G43" s="157"/>
      <c r="H43" s="157"/>
      <c r="I43" s="51">
        <f>SUM(I41:I42)</f>
        <v>7700</v>
      </c>
    </row>
    <row r="44" spans="2:9" ht="13.5" customHeight="1" thickTop="1" x14ac:dyDescent="0.15"/>
    <row r="45" spans="2:9" ht="13.5" customHeight="1" x14ac:dyDescent="0.15">
      <c r="B45" s="19" t="s">
        <v>8</v>
      </c>
      <c r="C45" s="6"/>
      <c r="D45" s="6"/>
      <c r="E45" s="6"/>
      <c r="F45" s="6"/>
      <c r="G45" s="6"/>
      <c r="H45" s="6"/>
      <c r="I45" s="6"/>
    </row>
    <row r="46" spans="2:9" ht="4.5" customHeight="1" x14ac:dyDescent="0.15">
      <c r="B46" s="20"/>
      <c r="C46" s="7"/>
      <c r="D46" s="7"/>
      <c r="E46" s="7"/>
      <c r="F46" s="7"/>
    </row>
    <row r="47" spans="2:9" ht="13.5" customHeight="1" x14ac:dyDescent="0.15">
      <c r="B47" s="17"/>
    </row>
    <row r="48" spans="2:9" ht="13.5" customHeight="1" x14ac:dyDescent="0.15">
      <c r="B48" s="17"/>
    </row>
    <row r="49" spans="2:9" ht="13.5" customHeight="1" x14ac:dyDescent="0.15">
      <c r="B49" s="17"/>
    </row>
    <row r="50" spans="2:9" ht="13.5" customHeight="1" x14ac:dyDescent="0.15">
      <c r="B50" s="17"/>
    </row>
    <row r="51" spans="2:9" ht="13.5" customHeight="1" x14ac:dyDescent="0.15">
      <c r="B51" s="17"/>
    </row>
    <row r="52" spans="2:9" ht="13.5" customHeight="1" x14ac:dyDescent="0.15">
      <c r="B52" s="17"/>
    </row>
    <row r="53" spans="2:9" ht="13.5" customHeight="1" x14ac:dyDescent="0.15">
      <c r="B53" s="158"/>
      <c r="C53" s="158"/>
      <c r="D53" s="158"/>
      <c r="E53" s="158"/>
      <c r="F53" s="158"/>
      <c r="G53" s="158"/>
      <c r="H53" s="158"/>
      <c r="I53" s="158"/>
    </row>
  </sheetData>
  <mergeCells count="57">
    <mergeCell ref="B53:I53"/>
    <mergeCell ref="B37:C37"/>
    <mergeCell ref="D37:E37"/>
    <mergeCell ref="B38:C38"/>
    <mergeCell ref="D38:E38"/>
    <mergeCell ref="B39:C39"/>
    <mergeCell ref="D39:E39"/>
    <mergeCell ref="B40:C40"/>
    <mergeCell ref="D40:E40"/>
    <mergeCell ref="F41:H41"/>
    <mergeCell ref="F42:H42"/>
    <mergeCell ref="F43:H43"/>
    <mergeCell ref="B34:C34"/>
    <mergeCell ref="D34:E34"/>
    <mergeCell ref="B35:C35"/>
    <mergeCell ref="D35:E35"/>
    <mergeCell ref="B36:C36"/>
    <mergeCell ref="D36:E36"/>
    <mergeCell ref="B31:C31"/>
    <mergeCell ref="D31:E31"/>
    <mergeCell ref="B32:C32"/>
    <mergeCell ref="D32:E32"/>
    <mergeCell ref="B33:C33"/>
    <mergeCell ref="D33:E33"/>
    <mergeCell ref="B28:C28"/>
    <mergeCell ref="D28:E28"/>
    <mergeCell ref="B29:C29"/>
    <mergeCell ref="D29:E29"/>
    <mergeCell ref="B30:C30"/>
    <mergeCell ref="D30:E30"/>
    <mergeCell ref="B18:B19"/>
    <mergeCell ref="C18:D19"/>
    <mergeCell ref="F18:I18"/>
    <mergeCell ref="B26:E26"/>
    <mergeCell ref="B27:C27"/>
    <mergeCell ref="D27:E27"/>
    <mergeCell ref="C14:D14"/>
    <mergeCell ref="F14:I14"/>
    <mergeCell ref="B15:B17"/>
    <mergeCell ref="C15:D15"/>
    <mergeCell ref="F15:I16"/>
    <mergeCell ref="C16:D16"/>
    <mergeCell ref="C17:D17"/>
    <mergeCell ref="F17:I17"/>
    <mergeCell ref="C13:D13"/>
    <mergeCell ref="F13:I13"/>
    <mergeCell ref="B2:I2"/>
    <mergeCell ref="B3:I3"/>
    <mergeCell ref="F4:I4"/>
    <mergeCell ref="B5:D6"/>
    <mergeCell ref="F5:I5"/>
    <mergeCell ref="F6:I6"/>
    <mergeCell ref="B7:D8"/>
    <mergeCell ref="F7:I7"/>
    <mergeCell ref="E8:E10"/>
    <mergeCell ref="F8:I8"/>
    <mergeCell ref="B10:D10"/>
  </mergeCells>
  <phoneticPr fontId="4"/>
  <conditionalFormatting sqref="B27 D27 D29:D40 F27:I40 B29:B40">
    <cfRule type="expression" dxfId="18" priority="2">
      <formula>MOD(ROW(),2)=1</formula>
    </cfRule>
  </conditionalFormatting>
  <conditionalFormatting sqref="B28 D28">
    <cfRule type="expression" dxfId="17" priority="1">
      <formula>MOD(ROW(),2)=1</formula>
    </cfRule>
  </conditionalFormatting>
  <printOptions horizontalCentered="1"/>
  <pageMargins left="0.94488188976377963" right="0.47244094488188981" top="0.59055118110236227" bottom="0.59055118110236227" header="0.31496062992125984" footer="0.19685039370078741"/>
  <pageSetup paperSize="9" scale="92" orientation="portrait" horizontalDpi="4294967293"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73E96-252F-4F4C-9F73-28A83D76D703}">
  <sheetPr codeName="Sheet15">
    <pageSetUpPr fitToPage="1"/>
  </sheetPr>
  <dimension ref="A2:I53"/>
  <sheetViews>
    <sheetView showGridLines="0" view="pageBreakPreview" topLeftCell="A19" zoomScaleNormal="100" zoomScaleSheetLayoutView="100" workbookViewId="0">
      <selection activeCell="D28" sqref="D28:E28"/>
    </sheetView>
  </sheetViews>
  <sheetFormatPr defaultColWidth="3.125" defaultRowHeight="13.5" customHeight="1" x14ac:dyDescent="0.15"/>
  <cols>
    <col min="1" max="1" width="7.625" style="1" customWidth="1"/>
    <col min="2" max="2" width="13.875" style="1" customWidth="1"/>
    <col min="3" max="3" width="23.25" style="1" customWidth="1"/>
    <col min="4" max="4" width="11.125" style="1" customWidth="1"/>
    <col min="5" max="5" width="11.625" style="1" customWidth="1"/>
    <col min="6" max="6" width="11.125" style="1" customWidth="1"/>
    <col min="7" max="7" width="6.625" style="1" customWidth="1"/>
    <col min="8" max="8" width="6.125" style="1" customWidth="1"/>
    <col min="9" max="9" width="12.25" style="1" customWidth="1"/>
    <col min="10" max="16384" width="3.125" style="1"/>
  </cols>
  <sheetData>
    <row r="2" spans="2:9" ht="13.5" customHeight="1" x14ac:dyDescent="0.15">
      <c r="B2" s="158"/>
      <c r="C2" s="158"/>
      <c r="D2" s="158"/>
      <c r="E2" s="158"/>
      <c r="F2" s="158"/>
      <c r="G2" s="158"/>
      <c r="H2" s="158"/>
      <c r="I2" s="158"/>
    </row>
    <row r="3" spans="2:9" s="2" customFormat="1" ht="36.75" customHeight="1" x14ac:dyDescent="0.55000000000000004">
      <c r="B3" s="192" t="s">
        <v>22</v>
      </c>
      <c r="C3" s="192"/>
      <c r="D3" s="192"/>
      <c r="E3" s="192"/>
      <c r="F3" s="192"/>
      <c r="G3" s="192"/>
      <c r="H3" s="192"/>
      <c r="I3" s="192"/>
    </row>
    <row r="4" spans="2:9" ht="15" customHeight="1" x14ac:dyDescent="0.15">
      <c r="F4" s="193"/>
      <c r="G4" s="193"/>
      <c r="H4" s="193"/>
      <c r="I4" s="193"/>
    </row>
    <row r="5" spans="2:9" ht="13.5" customHeight="1" x14ac:dyDescent="0.15">
      <c r="B5" s="194" t="str">
        <f>VLOOKUP(F5,請求書履歴!$A$2:$E$40,3,FALSE)</f>
        <v>女性共同法律事務所</v>
      </c>
      <c r="C5" s="194"/>
      <c r="D5" s="194"/>
      <c r="E5" s="94"/>
      <c r="F5" s="195">
        <v>20200005</v>
      </c>
      <c r="G5" s="195"/>
      <c r="H5" s="195"/>
      <c r="I5" s="195"/>
    </row>
    <row r="6" spans="2:9" ht="13.5" customHeight="1" x14ac:dyDescent="0.15">
      <c r="B6" s="194"/>
      <c r="C6" s="194"/>
      <c r="D6" s="194"/>
      <c r="F6" s="196">
        <v>43962</v>
      </c>
      <c r="G6" s="196"/>
      <c r="H6" s="196"/>
      <c r="I6" s="196"/>
    </row>
    <row r="7" spans="2:9" ht="13.5" customHeight="1" x14ac:dyDescent="0.15">
      <c r="B7" s="186" t="str">
        <f>VLOOKUP(F5,請求書履歴!$A$2:$E$40,4,FALSE)&amp; " " &amp; VLOOKUP(F5,請求書履歴!$A$2:$E$40,5,FALSE)</f>
        <v>宮地 様</v>
      </c>
      <c r="C7" s="186"/>
      <c r="D7" s="186"/>
      <c r="F7" s="187"/>
      <c r="G7" s="187"/>
      <c r="H7" s="187"/>
      <c r="I7" s="187"/>
    </row>
    <row r="8" spans="2:9" ht="13.5" customHeight="1" x14ac:dyDescent="0.15">
      <c r="B8" s="186"/>
      <c r="C8" s="186"/>
      <c r="D8" s="186"/>
      <c r="E8" s="188"/>
      <c r="F8" s="177"/>
      <c r="G8" s="177"/>
      <c r="H8" s="177"/>
      <c r="I8" s="177"/>
    </row>
    <row r="9" spans="2:9" ht="13.5" customHeight="1" x14ac:dyDescent="0.15">
      <c r="B9" s="92"/>
      <c r="C9" s="92"/>
      <c r="D9" s="92"/>
      <c r="E9" s="188"/>
      <c r="F9" s="91"/>
      <c r="G9" s="91"/>
      <c r="H9" s="91"/>
      <c r="I9" s="91"/>
    </row>
    <row r="10" spans="2:9" ht="13.5" customHeight="1" x14ac:dyDescent="0.15">
      <c r="B10" s="189"/>
      <c r="C10" s="189"/>
      <c r="D10" s="189"/>
      <c r="E10" s="188"/>
      <c r="F10" s="93"/>
      <c r="G10" s="93"/>
      <c r="H10" s="93"/>
      <c r="I10" s="93"/>
    </row>
    <row r="11" spans="2:9" ht="13.5" customHeight="1" x14ac:dyDescent="0.15">
      <c r="B11" s="28" t="s">
        <v>23</v>
      </c>
      <c r="C11" s="17"/>
      <c r="D11" s="95"/>
      <c r="E11" s="4"/>
      <c r="F11" s="29"/>
      <c r="G11" s="93"/>
      <c r="H11" s="93"/>
      <c r="I11" s="30"/>
    </row>
    <row r="12" spans="2:9" ht="13.5" customHeight="1" x14ac:dyDescent="0.15">
      <c r="B12" s="52"/>
      <c r="C12" s="52"/>
      <c r="D12" s="52"/>
      <c r="E12" s="4"/>
      <c r="F12" s="31"/>
      <c r="G12" s="31"/>
      <c r="H12" s="31"/>
      <c r="I12" s="31"/>
    </row>
    <row r="13" spans="2:9" ht="21" customHeight="1" x14ac:dyDescent="0.4">
      <c r="B13" s="43" t="s">
        <v>12</v>
      </c>
      <c r="C13" s="190" t="s">
        <v>31</v>
      </c>
      <c r="D13" s="190"/>
      <c r="E13" s="4"/>
      <c r="F13" s="191">
        <f>各種設定!C6</f>
        <v>6390223</v>
      </c>
      <c r="G13" s="191"/>
      <c r="H13" s="191"/>
      <c r="I13" s="191"/>
    </row>
    <row r="14" spans="2:9" ht="21" customHeight="1" x14ac:dyDescent="0.4">
      <c r="B14" s="43" t="s">
        <v>25</v>
      </c>
      <c r="C14" s="176">
        <f>EDATE(F6,1)</f>
        <v>43993</v>
      </c>
      <c r="D14" s="176"/>
      <c r="E14" s="4"/>
      <c r="F14" s="177" t="str">
        <f>各種設定!C7</f>
        <v>奈良県香芝市真美ヶ丘7-1-2</v>
      </c>
      <c r="G14" s="177"/>
      <c r="H14" s="177"/>
      <c r="I14" s="177"/>
    </row>
    <row r="15" spans="2:9" ht="19.5" customHeight="1" x14ac:dyDescent="0.4">
      <c r="B15" s="178" t="s">
        <v>13</v>
      </c>
      <c r="C15" s="181" t="str">
        <f>各種設定!C15&amp;" 　"&amp;各種設定!C16</f>
        <v>りそな 銀行 　香芝 支店</v>
      </c>
      <c r="D15" s="181"/>
      <c r="E15" s="94"/>
      <c r="F15" s="182" t="str">
        <f>各種設定!C10</f>
        <v>松田　ひとみ</v>
      </c>
      <c r="G15" s="182"/>
      <c r="H15" s="182"/>
      <c r="I15" s="182"/>
    </row>
    <row r="16" spans="2:9" ht="16.5" x14ac:dyDescent="0.4">
      <c r="B16" s="179"/>
      <c r="C16" s="183" t="str">
        <f>各種設定!C17</f>
        <v>普通　6275173</v>
      </c>
      <c r="D16" s="183"/>
      <c r="F16" s="182"/>
      <c r="G16" s="182"/>
      <c r="H16" s="182"/>
      <c r="I16" s="182"/>
    </row>
    <row r="17" spans="1:9" ht="16.5" customHeight="1" x14ac:dyDescent="0.4">
      <c r="B17" s="180"/>
      <c r="C17" s="184" t="str">
        <f>各種設定!C18</f>
        <v>マツダ　ヒトミ</v>
      </c>
      <c r="D17" s="184"/>
      <c r="E17" s="94"/>
      <c r="F17" s="185" t="str">
        <f>各種設定!C11</f>
        <v>090-8657-6721</v>
      </c>
      <c r="G17" s="185"/>
      <c r="H17" s="185"/>
      <c r="I17" s="185"/>
    </row>
    <row r="18" spans="1:9" ht="14.25" x14ac:dyDescent="0.15">
      <c r="B18" s="169" t="s">
        <v>14</v>
      </c>
      <c r="C18" s="171">
        <f>I43</f>
        <v>3240</v>
      </c>
      <c r="D18" s="171"/>
      <c r="E18" s="94"/>
      <c r="F18" s="172" t="str">
        <f>各種設定!C12</f>
        <v>hitomi@1103slabo.com</v>
      </c>
      <c r="G18" s="172"/>
      <c r="H18" s="172"/>
      <c r="I18" s="172"/>
    </row>
    <row r="19" spans="1:9" ht="34.5" customHeight="1" x14ac:dyDescent="0.15">
      <c r="B19" s="170"/>
      <c r="C19" s="171"/>
      <c r="D19" s="171"/>
      <c r="E19" s="94"/>
      <c r="F19" s="94"/>
      <c r="G19" s="94"/>
      <c r="H19" s="94"/>
      <c r="I19" s="94"/>
    </row>
    <row r="20" spans="1:9" ht="12.75" customHeight="1" x14ac:dyDescent="0.15">
      <c r="B20" s="17"/>
      <c r="C20" s="17"/>
      <c r="D20" s="17"/>
      <c r="E20" s="94"/>
      <c r="F20" s="94"/>
      <c r="G20" s="94"/>
      <c r="H20" s="94"/>
      <c r="I20" s="94"/>
    </row>
    <row r="21" spans="1:9" ht="13.5" customHeight="1" x14ac:dyDescent="0.15">
      <c r="B21" s="25" t="s">
        <v>0</v>
      </c>
      <c r="C21" s="25"/>
      <c r="D21" s="25"/>
      <c r="E21" s="25"/>
      <c r="F21" s="25"/>
      <c r="G21" s="25"/>
      <c r="H21" s="25"/>
      <c r="I21" s="25"/>
    </row>
    <row r="22" spans="1:9" ht="13.5" customHeight="1" x14ac:dyDescent="0.15">
      <c r="B22" s="25" t="s">
        <v>15</v>
      </c>
      <c r="C22" s="25"/>
      <c r="D22" s="25"/>
      <c r="E22" s="25"/>
      <c r="F22" s="25"/>
      <c r="G22" s="25"/>
      <c r="H22" s="25"/>
      <c r="I22" s="25"/>
    </row>
    <row r="23" spans="1:9" ht="13.5" customHeight="1" x14ac:dyDescent="0.15">
      <c r="B23" s="25"/>
      <c r="C23" s="25"/>
      <c r="D23" s="25"/>
      <c r="E23" s="25"/>
      <c r="F23" s="25"/>
      <c r="G23" s="25"/>
      <c r="H23" s="25"/>
      <c r="I23" s="25"/>
    </row>
    <row r="24" spans="1:9" ht="13.5" customHeight="1" x14ac:dyDescent="0.15">
      <c r="B24" s="25"/>
      <c r="C24" s="25"/>
      <c r="D24" s="25"/>
      <c r="E24" s="25"/>
      <c r="F24" s="25"/>
      <c r="G24" s="25"/>
      <c r="H24" s="25"/>
      <c r="I24" s="25"/>
    </row>
    <row r="25" spans="1:9" ht="13.5" customHeight="1" x14ac:dyDescent="0.15">
      <c r="B25" s="19" t="s">
        <v>1</v>
      </c>
      <c r="C25" s="18"/>
      <c r="D25" s="18"/>
      <c r="E25" s="18"/>
      <c r="F25" s="18"/>
      <c r="G25" s="18"/>
      <c r="H25" s="18"/>
      <c r="I25" s="18"/>
    </row>
    <row r="26" spans="1:9" s="44" customFormat="1" ht="20.25" customHeight="1" x14ac:dyDescent="0.15">
      <c r="A26" s="44" t="s">
        <v>18</v>
      </c>
      <c r="B26" s="173" t="s">
        <v>26</v>
      </c>
      <c r="C26" s="173"/>
      <c r="D26" s="173"/>
      <c r="E26" s="173"/>
      <c r="F26" s="45" t="s">
        <v>2</v>
      </c>
      <c r="G26" s="45" t="s">
        <v>3</v>
      </c>
      <c r="H26" s="46" t="s">
        <v>11</v>
      </c>
      <c r="I26" s="46" t="s">
        <v>4</v>
      </c>
    </row>
    <row r="27" spans="1:9" ht="20.25" customHeight="1" x14ac:dyDescent="0.15">
      <c r="A27" s="1" t="s">
        <v>20</v>
      </c>
      <c r="B27" s="174" t="str">
        <f>IF(ISBLANK($A27),"",VLOOKUP($A27,商品マスタ!$A$2:$E$7,2,FALSE))</f>
        <v>PCトラブル・メール相談</v>
      </c>
      <c r="C27" s="175"/>
      <c r="D27" s="161">
        <f>IF(ISBLANK($A27),"",VLOOKUP($A27,商品マスタ!$A$2:$E$7,3,FALSE))</f>
        <v>0</v>
      </c>
      <c r="E27" s="162"/>
      <c r="F27" s="11">
        <f>IF(ISBLANK($A27),"",VLOOKUP($A27,商品マスタ!$A$2:$E$7,5,FALSE))</f>
        <v>1000</v>
      </c>
      <c r="G27" s="87">
        <v>1</v>
      </c>
      <c r="H27" s="47" t="str">
        <f>IF(ISBLANK($A27),"",VLOOKUP($A27,商品マスタ!$A$2:$E$7,4,FALSE))</f>
        <v>案件</v>
      </c>
      <c r="I27" s="13">
        <f>IF(G27="","",F27*G27)</f>
        <v>1000</v>
      </c>
    </row>
    <row r="28" spans="1:9" ht="20.25" customHeight="1" x14ac:dyDescent="0.15">
      <c r="A28" s="1" t="s">
        <v>29</v>
      </c>
      <c r="B28" s="167"/>
      <c r="C28" s="168"/>
      <c r="D28" s="161" t="str">
        <f>IF(ISBLANK($A28),"",VLOOKUP($A28,商品マスタ!$A$2:$E$7,3,FALSE))</f>
        <v>メール内容調査、原因対応資料作成</v>
      </c>
      <c r="E28" s="162"/>
      <c r="F28" s="11">
        <f>IF(ISBLANK($A28),"",VLOOKUP($A28,商品マスタ!$A$2:$E$7,5,FALSE))</f>
        <v>2000</v>
      </c>
      <c r="G28" s="87">
        <v>1</v>
      </c>
      <c r="H28" s="47" t="str">
        <f>IF(ISBLANK($A28),"",VLOOKUP($A28,商品マスタ!$A$2:$E$7,4,FALSE))</f>
        <v>時間</v>
      </c>
      <c r="I28" s="13">
        <f t="shared" ref="I28:I40" si="0">IF(G28="","",F28*G28)</f>
        <v>2000</v>
      </c>
    </row>
    <row r="29" spans="1:9" ht="20.25" customHeight="1" x14ac:dyDescent="0.15">
      <c r="B29" s="167" t="str">
        <f>IF(ISBLANK($A29),"",VLOOKUP($A29,#REF!,2,FALSE))</f>
        <v/>
      </c>
      <c r="C29" s="168"/>
      <c r="D29" s="161" t="str">
        <f>IF(ISBLANK($A29),"",VLOOKUP($A29,商品マスタ!$A$2:$E$7,3,FALSE))</f>
        <v/>
      </c>
      <c r="E29" s="162"/>
      <c r="F29" s="11" t="str">
        <f>IF(ISBLANK($A29),"",VLOOKUP($A29,商品マスタ!$A$2:$E$7,5,FALSE))</f>
        <v/>
      </c>
      <c r="G29" s="87"/>
      <c r="H29" s="47" t="str">
        <f>IF(ISBLANK($A29),"",VLOOKUP($A29,商品マスタ!$A$2:$E$7,4,FALSE))</f>
        <v/>
      </c>
      <c r="I29" s="13" t="str">
        <f t="shared" si="0"/>
        <v/>
      </c>
    </row>
    <row r="30" spans="1:9" ht="20.25" customHeight="1" x14ac:dyDescent="0.15">
      <c r="B30" s="159" t="str">
        <f>IF(ISBLANK($A30),"",VLOOKUP($A30,#REF!,2,FALSE))</f>
        <v/>
      </c>
      <c r="C30" s="160"/>
      <c r="D30" s="161" t="str">
        <f>IF(ISBLANK($A30),"",VLOOKUP($A30,商品マスタ!$A$2:$E$7,3,FALSE))</f>
        <v/>
      </c>
      <c r="E30" s="162"/>
      <c r="F30" s="11" t="str">
        <f>IF(ISBLANK($A30),"",VLOOKUP($A30,商品マスタ!$A$2:$E$7,5,FALSE))</f>
        <v/>
      </c>
      <c r="G30" s="88"/>
      <c r="H30" s="47" t="str">
        <f>IF(ISBLANK($A30),"",VLOOKUP($A30,商品マスタ!$A$2:$E$7,4,FALSE))</f>
        <v/>
      </c>
      <c r="I30" s="13" t="str">
        <f t="shared" si="0"/>
        <v/>
      </c>
    </row>
    <row r="31" spans="1:9" ht="20.25" customHeight="1" x14ac:dyDescent="0.15">
      <c r="B31" s="159" t="str">
        <f>IF(ISBLANK($A31),"",VLOOKUP($A31,#REF!,2,FALSE))</f>
        <v/>
      </c>
      <c r="C31" s="160"/>
      <c r="D31" s="161" t="str">
        <f>IF(ISBLANK($A31),"",VLOOKUP($A31,商品マスタ!$A$2:$E$7,3,FALSE))</f>
        <v/>
      </c>
      <c r="E31" s="162"/>
      <c r="F31" s="11" t="str">
        <f>IF(ISBLANK($A31),"",VLOOKUP($A31,商品マスタ!$A$2:$E$7,5,FALSE))</f>
        <v/>
      </c>
      <c r="G31" s="88"/>
      <c r="H31" s="47" t="str">
        <f>IF(ISBLANK($A31),"",VLOOKUP($A31,商品マスタ!$A$2:$E$7,4,FALSE))</f>
        <v/>
      </c>
      <c r="I31" s="13" t="str">
        <f t="shared" si="0"/>
        <v/>
      </c>
    </row>
    <row r="32" spans="1:9" ht="20.25" customHeight="1" x14ac:dyDescent="0.15">
      <c r="B32" s="159" t="str">
        <f>IF(ISBLANK($A32),"",VLOOKUP($A32,#REF!,2,FALSE))</f>
        <v/>
      </c>
      <c r="C32" s="160"/>
      <c r="D32" s="161" t="str">
        <f>IF(ISBLANK($A32),"",VLOOKUP($A32,商品マスタ!$A$2:$E$7,3,FALSE))</f>
        <v/>
      </c>
      <c r="E32" s="162"/>
      <c r="F32" s="11" t="str">
        <f>IF(ISBLANK($A32),"",VLOOKUP($A32,商品マスタ!$A$2:$E$7,5,FALSE))</f>
        <v/>
      </c>
      <c r="G32" s="88"/>
      <c r="H32" s="47" t="str">
        <f>IF(ISBLANK($A32),"",VLOOKUP($A32,商品マスタ!$A$2:$E$7,4,FALSE))</f>
        <v/>
      </c>
      <c r="I32" s="13" t="str">
        <f t="shared" si="0"/>
        <v/>
      </c>
    </row>
    <row r="33" spans="2:9" ht="20.25" customHeight="1" x14ac:dyDescent="0.15">
      <c r="B33" s="159" t="str">
        <f>IF(ISBLANK($A33),"",VLOOKUP($A33,#REF!,2,FALSE))</f>
        <v/>
      </c>
      <c r="C33" s="160"/>
      <c r="D33" s="161" t="str">
        <f>IF(ISBLANK($A33),"",VLOOKUP($A33,商品マスタ!$A$2:$E$7,3,FALSE))</f>
        <v/>
      </c>
      <c r="E33" s="162"/>
      <c r="F33" s="11" t="str">
        <f>IF(ISBLANK($A33),"",VLOOKUP($A33,商品マスタ!$A$2:$E$7,5,FALSE))</f>
        <v/>
      </c>
      <c r="G33" s="88"/>
      <c r="H33" s="47" t="str">
        <f>IF(ISBLANK($A33),"",VLOOKUP($A33,商品マスタ!$A$2:$E$7,4,FALSE))</f>
        <v/>
      </c>
      <c r="I33" s="13" t="str">
        <f t="shared" si="0"/>
        <v/>
      </c>
    </row>
    <row r="34" spans="2:9" ht="20.25" customHeight="1" x14ac:dyDescent="0.15">
      <c r="B34" s="159" t="str">
        <f>IF(ISBLANK($A34),"",VLOOKUP($A34,#REF!,2,FALSE))</f>
        <v/>
      </c>
      <c r="C34" s="160"/>
      <c r="D34" s="161" t="str">
        <f>IF(ISBLANK($A34),"",VLOOKUP($A34,商品マスタ!$A$2:$E$7,3,FALSE))</f>
        <v/>
      </c>
      <c r="E34" s="162"/>
      <c r="F34" s="11" t="str">
        <f>IF(ISBLANK($A34),"",VLOOKUP($A34,商品マスタ!$A$2:$E$7,5,FALSE))</f>
        <v/>
      </c>
      <c r="G34" s="88"/>
      <c r="H34" s="47" t="str">
        <f>IF(ISBLANK($A34),"",VLOOKUP($A34,商品マスタ!$A$2:$E$7,4,FALSE))</f>
        <v/>
      </c>
      <c r="I34" s="13" t="str">
        <f t="shared" si="0"/>
        <v/>
      </c>
    </row>
    <row r="35" spans="2:9" ht="20.25" customHeight="1" x14ac:dyDescent="0.15">
      <c r="B35" s="163" t="str">
        <f>IF(ISBLANK($A35),"",VLOOKUP($A35,#REF!,2,FALSE))</f>
        <v/>
      </c>
      <c r="C35" s="164"/>
      <c r="D35" s="165" t="str">
        <f>IF(ISBLANK($A35),"",VLOOKUP($A35,商品マスタ!$A$2:$E$7,3,FALSE))</f>
        <v/>
      </c>
      <c r="E35" s="166"/>
      <c r="F35" s="11" t="str">
        <f>IF(ISBLANK($A35),"",VLOOKUP($A35,商品マスタ!$A$2:$E$7,5,FALSE))</f>
        <v/>
      </c>
      <c r="G35" s="88"/>
      <c r="H35" s="47" t="str">
        <f>IF(ISBLANK($A35),"",VLOOKUP($A35,商品マスタ!$A$2:$E$7,4,FALSE))</f>
        <v/>
      </c>
      <c r="I35" s="13" t="str">
        <f t="shared" si="0"/>
        <v/>
      </c>
    </row>
    <row r="36" spans="2:9" ht="20.25" customHeight="1" x14ac:dyDescent="0.15">
      <c r="B36" s="163" t="str">
        <f>IF(ISBLANK($A36),"",VLOOKUP($A36,#REF!,2,FALSE))</f>
        <v/>
      </c>
      <c r="C36" s="164"/>
      <c r="D36" s="165" t="str">
        <f>IF(ISBLANK($A36),"",VLOOKUP($A36,商品マスタ!$A$2:$E$7,3,FALSE))</f>
        <v/>
      </c>
      <c r="E36" s="166"/>
      <c r="F36" s="11" t="str">
        <f>IF(ISBLANK($A36),"",VLOOKUP($A36,商品マスタ!$A$2:$E$7,5,FALSE))</f>
        <v/>
      </c>
      <c r="G36" s="88"/>
      <c r="H36" s="47" t="str">
        <f>IF(ISBLANK($A36),"",VLOOKUP($A36,商品マスタ!$A$2:$E$7,4,FALSE))</f>
        <v/>
      </c>
      <c r="I36" s="13" t="str">
        <f t="shared" si="0"/>
        <v/>
      </c>
    </row>
    <row r="37" spans="2:9" ht="20.25" customHeight="1" x14ac:dyDescent="0.15">
      <c r="B37" s="159" t="str">
        <f>IF(ISBLANK($A37),"",VLOOKUP($A37,#REF!,2,FALSE))</f>
        <v/>
      </c>
      <c r="C37" s="160"/>
      <c r="D37" s="161" t="str">
        <f>IF(ISBLANK($A37),"",VLOOKUP($A37,商品マスタ!$A$2:$E$7,3,FALSE))</f>
        <v/>
      </c>
      <c r="E37" s="162"/>
      <c r="F37" s="11" t="str">
        <f>IF(ISBLANK($A37),"",VLOOKUP($A37,商品マスタ!$A$2:$E$7,5,FALSE))</f>
        <v/>
      </c>
      <c r="G37" s="88"/>
      <c r="H37" s="47" t="str">
        <f>IF(ISBLANK($A37),"",VLOOKUP($A37,商品マスタ!$A$2:$E$7,4,FALSE))</f>
        <v/>
      </c>
      <c r="I37" s="13" t="str">
        <f t="shared" si="0"/>
        <v/>
      </c>
    </row>
    <row r="38" spans="2:9" ht="20.25" customHeight="1" x14ac:dyDescent="0.15">
      <c r="B38" s="159" t="str">
        <f>IF(ISBLANK($A38),"",VLOOKUP($A38,#REF!,2,FALSE))</f>
        <v/>
      </c>
      <c r="C38" s="160"/>
      <c r="D38" s="161" t="str">
        <f>IF(ISBLANK($A38),"",VLOOKUP($A38,商品マスタ!$A$2:$E$7,3,FALSE))</f>
        <v/>
      </c>
      <c r="E38" s="162"/>
      <c r="F38" s="11" t="str">
        <f>IF(ISBLANK($A38),"",VLOOKUP($A38,商品マスタ!$A$2:$E$7,5,FALSE))</f>
        <v/>
      </c>
      <c r="G38" s="89"/>
      <c r="H38" s="47" t="str">
        <f>IF(ISBLANK($A38),"",VLOOKUP($A38,商品マスタ!$A$2:$E$7,4,FALSE))</f>
        <v/>
      </c>
      <c r="I38" s="13" t="str">
        <f t="shared" si="0"/>
        <v/>
      </c>
    </row>
    <row r="39" spans="2:9" ht="20.25" customHeight="1" x14ac:dyDescent="0.15">
      <c r="B39" s="159" t="str">
        <f>IF(ISBLANK($A39),"",VLOOKUP($A39,#REF!,2,FALSE))</f>
        <v/>
      </c>
      <c r="C39" s="160"/>
      <c r="D39" s="161" t="str">
        <f>IF(ISBLANK($A39),"",VLOOKUP($A39,商品マスタ!$A$2:$E$7,3,FALSE))</f>
        <v/>
      </c>
      <c r="E39" s="162"/>
      <c r="F39" s="11" t="str">
        <f>IF(ISBLANK($A39),"",VLOOKUP($A39,商品マスタ!$A$2:$E$7,5,FALSE))</f>
        <v/>
      </c>
      <c r="G39" s="89"/>
      <c r="H39" s="47" t="str">
        <f>IF(ISBLANK($A39),"",VLOOKUP($A39,商品マスタ!$A$2:$E$7,4,FALSE))</f>
        <v/>
      </c>
      <c r="I39" s="13" t="str">
        <f t="shared" si="0"/>
        <v/>
      </c>
    </row>
    <row r="40" spans="2:9" ht="20.25" customHeight="1" x14ac:dyDescent="0.15">
      <c r="B40" s="151" t="str">
        <f>IF(ISBLANK($A40),"",VLOOKUP($A40,#REF!,2,FALSE))</f>
        <v/>
      </c>
      <c r="C40" s="152"/>
      <c r="D40" s="153" t="str">
        <f>IF(ISBLANK($A40),"",VLOOKUP($A40,商品マスタ!$A$2:$E$7,3,FALSE))</f>
        <v/>
      </c>
      <c r="E40" s="154"/>
      <c r="F40" s="11" t="str">
        <f>IF(ISBLANK($A40),"",VLOOKUP($A40,商品マスタ!$A$2:$E$7,5,FALSE))</f>
        <v/>
      </c>
      <c r="G40" s="90"/>
      <c r="H40" s="47" t="str">
        <f>IF(ISBLANK($A40),"",VLOOKUP($A40,商品マスタ!$A$2:$E$7,4,FALSE))</f>
        <v/>
      </c>
      <c r="I40" s="58" t="str">
        <f t="shared" si="0"/>
        <v/>
      </c>
    </row>
    <row r="41" spans="2:9" ht="18.75" customHeight="1" x14ac:dyDescent="0.15">
      <c r="F41" s="155" t="s">
        <v>5</v>
      </c>
      <c r="G41" s="155"/>
      <c r="H41" s="155"/>
      <c r="I41" s="50">
        <f>SUM(I27:I40)</f>
        <v>3000</v>
      </c>
    </row>
    <row r="42" spans="2:9" ht="18.75" customHeight="1" x14ac:dyDescent="0.15">
      <c r="F42" s="156" t="s">
        <v>6</v>
      </c>
      <c r="G42" s="156"/>
      <c r="H42" s="156"/>
      <c r="I42" s="50">
        <f>I41*0.08</f>
        <v>240</v>
      </c>
    </row>
    <row r="43" spans="2:9" ht="18.75" customHeight="1" thickBot="1" x14ac:dyDescent="0.2">
      <c r="F43" s="157" t="s">
        <v>7</v>
      </c>
      <c r="G43" s="157"/>
      <c r="H43" s="157"/>
      <c r="I43" s="51">
        <f>SUM(I41:I42)</f>
        <v>3240</v>
      </c>
    </row>
    <row r="44" spans="2:9" ht="13.5" customHeight="1" thickTop="1" x14ac:dyDescent="0.15"/>
    <row r="45" spans="2:9" ht="13.5" customHeight="1" x14ac:dyDescent="0.15">
      <c r="B45" s="19" t="s">
        <v>8</v>
      </c>
      <c r="C45" s="6"/>
      <c r="D45" s="6"/>
      <c r="E45" s="6"/>
      <c r="F45" s="6"/>
      <c r="G45" s="6"/>
      <c r="H45" s="6"/>
      <c r="I45" s="6"/>
    </row>
    <row r="46" spans="2:9" ht="4.5" customHeight="1" x14ac:dyDescent="0.15">
      <c r="B46" s="20"/>
      <c r="C46" s="7"/>
      <c r="D46" s="7"/>
      <c r="E46" s="7"/>
      <c r="F46" s="7"/>
    </row>
    <row r="47" spans="2:9" ht="13.5" customHeight="1" x14ac:dyDescent="0.15">
      <c r="B47" s="17"/>
    </row>
    <row r="48" spans="2:9" ht="13.5" customHeight="1" x14ac:dyDescent="0.15">
      <c r="B48" s="17"/>
    </row>
    <row r="49" spans="2:9" ht="13.5" customHeight="1" x14ac:dyDescent="0.15">
      <c r="B49" s="17"/>
    </row>
    <row r="50" spans="2:9" ht="13.5" customHeight="1" x14ac:dyDescent="0.15">
      <c r="B50" s="17"/>
    </row>
    <row r="51" spans="2:9" ht="13.5" customHeight="1" x14ac:dyDescent="0.15">
      <c r="B51" s="17"/>
    </row>
    <row r="52" spans="2:9" ht="13.5" customHeight="1" x14ac:dyDescent="0.15">
      <c r="B52" s="17"/>
    </row>
    <row r="53" spans="2:9" ht="13.5" customHeight="1" x14ac:dyDescent="0.15">
      <c r="B53" s="158"/>
      <c r="C53" s="158"/>
      <c r="D53" s="158"/>
      <c r="E53" s="158"/>
      <c r="F53" s="158"/>
      <c r="G53" s="158"/>
      <c r="H53" s="158"/>
      <c r="I53" s="158"/>
    </row>
  </sheetData>
  <mergeCells count="57">
    <mergeCell ref="C13:D13"/>
    <mergeCell ref="F13:I13"/>
    <mergeCell ref="B2:I2"/>
    <mergeCell ref="B3:I3"/>
    <mergeCell ref="F4:I4"/>
    <mergeCell ref="B5:D6"/>
    <mergeCell ref="F5:I5"/>
    <mergeCell ref="F6:I6"/>
    <mergeCell ref="B7:D8"/>
    <mergeCell ref="F7:I7"/>
    <mergeCell ref="E8:E10"/>
    <mergeCell ref="F8:I8"/>
    <mergeCell ref="B10:D10"/>
    <mergeCell ref="C14:D14"/>
    <mergeCell ref="F14:I14"/>
    <mergeCell ref="B15:B17"/>
    <mergeCell ref="C15:D15"/>
    <mergeCell ref="F15:I16"/>
    <mergeCell ref="C16:D16"/>
    <mergeCell ref="C17:D17"/>
    <mergeCell ref="F17:I17"/>
    <mergeCell ref="B18:B19"/>
    <mergeCell ref="C18:D19"/>
    <mergeCell ref="F18:I18"/>
    <mergeCell ref="B26:E26"/>
    <mergeCell ref="B27:C27"/>
    <mergeCell ref="D27:E27"/>
    <mergeCell ref="B28:C28"/>
    <mergeCell ref="D28:E28"/>
    <mergeCell ref="B29:C29"/>
    <mergeCell ref="D29:E29"/>
    <mergeCell ref="B30:C30"/>
    <mergeCell ref="D30:E30"/>
    <mergeCell ref="B31:C31"/>
    <mergeCell ref="D31:E31"/>
    <mergeCell ref="B32:C32"/>
    <mergeCell ref="D32:E32"/>
    <mergeCell ref="B33:C33"/>
    <mergeCell ref="D33:E33"/>
    <mergeCell ref="B34:C34"/>
    <mergeCell ref="D34:E34"/>
    <mergeCell ref="B35:C35"/>
    <mergeCell ref="D35:E35"/>
    <mergeCell ref="B36:C36"/>
    <mergeCell ref="D36:E36"/>
    <mergeCell ref="B53:I53"/>
    <mergeCell ref="B37:C37"/>
    <mergeCell ref="D37:E37"/>
    <mergeCell ref="B38:C38"/>
    <mergeCell ref="D38:E38"/>
    <mergeCell ref="B39:C39"/>
    <mergeCell ref="D39:E39"/>
    <mergeCell ref="B40:C40"/>
    <mergeCell ref="D40:E40"/>
    <mergeCell ref="F41:H41"/>
    <mergeCell ref="F42:H42"/>
    <mergeCell ref="F43:H43"/>
  </mergeCells>
  <phoneticPr fontId="4"/>
  <conditionalFormatting sqref="B27 D27 D29:D40 B29:B40 F27:I40">
    <cfRule type="expression" dxfId="16" priority="2">
      <formula>MOD(ROW(),2)=1</formula>
    </cfRule>
  </conditionalFormatting>
  <conditionalFormatting sqref="B28 D28">
    <cfRule type="expression" dxfId="15" priority="1">
      <formula>MOD(ROW(),2)=1</formula>
    </cfRule>
  </conditionalFormatting>
  <printOptions horizontalCentered="1"/>
  <pageMargins left="0.94488188976377963" right="0.47244094488188981" top="0.59055118110236227" bottom="0.59055118110236227" header="0.31496062992125984" footer="0.19685039370078741"/>
  <pageSetup paperSize="9" scale="92" orientation="portrait" horizontalDpi="4294967293" r:id="rId1"/>
  <headerFooter alignWithMargins="0"/>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EBF6B-49C1-4B07-B1CD-9A143604F4EB}">
  <sheetPr codeName="Sheet16">
    <pageSetUpPr fitToPage="1"/>
  </sheetPr>
  <dimension ref="A2:I53"/>
  <sheetViews>
    <sheetView showGridLines="0" view="pageBreakPreview" topLeftCell="A16" zoomScaleNormal="100" zoomScaleSheetLayoutView="100" workbookViewId="0">
      <selection activeCell="F33" sqref="F33"/>
    </sheetView>
  </sheetViews>
  <sheetFormatPr defaultColWidth="3.125" defaultRowHeight="13.5" customHeight="1" x14ac:dyDescent="0.15"/>
  <cols>
    <col min="1" max="1" width="7.625" style="1" customWidth="1"/>
    <col min="2" max="2" width="13.875" style="1" customWidth="1"/>
    <col min="3" max="3" width="23.25" style="1" customWidth="1"/>
    <col min="4" max="4" width="11.125" style="1" customWidth="1"/>
    <col min="5" max="5" width="11.625" style="1" customWidth="1"/>
    <col min="6" max="6" width="11.125" style="1" customWidth="1"/>
    <col min="7" max="7" width="6.625" style="1" customWidth="1"/>
    <col min="8" max="8" width="6.125" style="1" customWidth="1"/>
    <col min="9" max="9" width="12.25" style="1" customWidth="1"/>
    <col min="10" max="16384" width="3.125" style="1"/>
  </cols>
  <sheetData>
    <row r="2" spans="2:9" ht="13.5" customHeight="1" x14ac:dyDescent="0.15">
      <c r="B2" s="158"/>
      <c r="C2" s="158"/>
      <c r="D2" s="158"/>
      <c r="E2" s="158"/>
      <c r="F2" s="158"/>
      <c r="G2" s="158"/>
      <c r="H2" s="158"/>
      <c r="I2" s="158"/>
    </row>
    <row r="3" spans="2:9" s="2" customFormat="1" ht="36.75" customHeight="1" x14ac:dyDescent="0.55000000000000004">
      <c r="B3" s="192" t="s">
        <v>22</v>
      </c>
      <c r="C3" s="192"/>
      <c r="D3" s="192"/>
      <c r="E3" s="192"/>
      <c r="F3" s="192"/>
      <c r="G3" s="192"/>
      <c r="H3" s="192"/>
      <c r="I3" s="192"/>
    </row>
    <row r="4" spans="2:9" ht="15" customHeight="1" x14ac:dyDescent="0.15">
      <c r="F4" s="193"/>
      <c r="G4" s="193"/>
      <c r="H4" s="193"/>
      <c r="I4" s="193"/>
    </row>
    <row r="5" spans="2:9" ht="13.5" customHeight="1" x14ac:dyDescent="0.15">
      <c r="B5" s="194" t="str">
        <f>VLOOKUP(F5,請求書履歴!$A$2:$E$40,3,FALSE)</f>
        <v>女性共同法律事務所</v>
      </c>
      <c r="C5" s="194"/>
      <c r="D5" s="194"/>
      <c r="E5" s="82"/>
      <c r="F5" s="195">
        <v>20200002</v>
      </c>
      <c r="G5" s="195"/>
      <c r="H5" s="195"/>
      <c r="I5" s="195"/>
    </row>
    <row r="6" spans="2:9" ht="13.5" customHeight="1" x14ac:dyDescent="0.15">
      <c r="B6" s="194"/>
      <c r="C6" s="194"/>
      <c r="D6" s="194"/>
      <c r="F6" s="196">
        <v>43950</v>
      </c>
      <c r="G6" s="196"/>
      <c r="H6" s="196"/>
      <c r="I6" s="196"/>
    </row>
    <row r="7" spans="2:9" ht="13.5" customHeight="1" x14ac:dyDescent="0.15">
      <c r="B7" s="186" t="str">
        <f>VLOOKUP(F5,請求書履歴!$A$2:$E$40,4,FALSE)&amp; " " &amp; VLOOKUP(F5,請求書履歴!$A$2:$E$40,5,FALSE)</f>
        <v>宮地 様</v>
      </c>
      <c r="C7" s="186"/>
      <c r="D7" s="186"/>
      <c r="F7" s="187"/>
      <c r="G7" s="187"/>
      <c r="H7" s="187"/>
      <c r="I7" s="187"/>
    </row>
    <row r="8" spans="2:9" ht="13.5" customHeight="1" x14ac:dyDescent="0.15">
      <c r="B8" s="186"/>
      <c r="C8" s="186"/>
      <c r="D8" s="186"/>
      <c r="E8" s="188"/>
      <c r="F8" s="177"/>
      <c r="G8" s="177"/>
      <c r="H8" s="177"/>
      <c r="I8" s="177"/>
    </row>
    <row r="9" spans="2:9" ht="13.5" customHeight="1" x14ac:dyDescent="0.15">
      <c r="B9" s="80"/>
      <c r="C9" s="80"/>
      <c r="D9" s="80"/>
      <c r="E9" s="188"/>
      <c r="F9" s="79"/>
      <c r="G9" s="79"/>
      <c r="H9" s="79"/>
      <c r="I9" s="79"/>
    </row>
    <row r="10" spans="2:9" ht="13.5" customHeight="1" x14ac:dyDescent="0.15">
      <c r="B10" s="189"/>
      <c r="C10" s="189"/>
      <c r="D10" s="189"/>
      <c r="E10" s="188"/>
      <c r="F10" s="81"/>
      <c r="G10" s="81"/>
      <c r="H10" s="81"/>
      <c r="I10" s="81"/>
    </row>
    <row r="11" spans="2:9" ht="13.5" customHeight="1" x14ac:dyDescent="0.15">
      <c r="B11" s="28" t="s">
        <v>23</v>
      </c>
      <c r="C11" s="17"/>
      <c r="D11" s="83"/>
      <c r="E11" s="4"/>
      <c r="F11" s="29"/>
      <c r="G11" s="81"/>
      <c r="H11" s="81"/>
      <c r="I11" s="30"/>
    </row>
    <row r="12" spans="2:9" ht="13.5" customHeight="1" x14ac:dyDescent="0.15">
      <c r="B12" s="52"/>
      <c r="C12" s="52"/>
      <c r="D12" s="52"/>
      <c r="E12" s="4"/>
      <c r="F12" s="31"/>
      <c r="G12" s="31"/>
      <c r="H12" s="31"/>
      <c r="I12" s="31"/>
    </row>
    <row r="13" spans="2:9" ht="21" customHeight="1" x14ac:dyDescent="0.4">
      <c r="B13" s="43" t="s">
        <v>12</v>
      </c>
      <c r="C13" s="190" t="s">
        <v>21</v>
      </c>
      <c r="D13" s="190"/>
      <c r="E13" s="4"/>
      <c r="F13" s="191">
        <f>各種設定!C6</f>
        <v>6390223</v>
      </c>
      <c r="G13" s="191"/>
      <c r="H13" s="191"/>
      <c r="I13" s="191"/>
    </row>
    <row r="14" spans="2:9" ht="21" customHeight="1" x14ac:dyDescent="0.4">
      <c r="B14" s="43" t="s">
        <v>25</v>
      </c>
      <c r="C14" s="176">
        <f>EDATE(F6,1)</f>
        <v>43980</v>
      </c>
      <c r="D14" s="176"/>
      <c r="E14" s="4"/>
      <c r="F14" s="177" t="str">
        <f>各種設定!C7</f>
        <v>奈良県香芝市真美ヶ丘7-1-2</v>
      </c>
      <c r="G14" s="177"/>
      <c r="H14" s="177"/>
      <c r="I14" s="177"/>
    </row>
    <row r="15" spans="2:9" ht="19.5" customHeight="1" x14ac:dyDescent="0.4">
      <c r="B15" s="178" t="s">
        <v>13</v>
      </c>
      <c r="C15" s="181" t="str">
        <f>各種設定!C15&amp;" 　"&amp;各種設定!C16</f>
        <v>りそな 銀行 　香芝 支店</v>
      </c>
      <c r="D15" s="181"/>
      <c r="E15" s="82"/>
      <c r="F15" s="182" t="str">
        <f>各種設定!C10</f>
        <v>松田　ひとみ</v>
      </c>
      <c r="G15" s="182"/>
      <c r="H15" s="182"/>
      <c r="I15" s="182"/>
    </row>
    <row r="16" spans="2:9" ht="16.5" x14ac:dyDescent="0.4">
      <c r="B16" s="179"/>
      <c r="C16" s="183" t="str">
        <f>各種設定!C17</f>
        <v>普通　6275173</v>
      </c>
      <c r="D16" s="183"/>
      <c r="F16" s="182"/>
      <c r="G16" s="182"/>
      <c r="H16" s="182"/>
      <c r="I16" s="182"/>
    </row>
    <row r="17" spans="1:9" ht="16.5" customHeight="1" x14ac:dyDescent="0.4">
      <c r="B17" s="180"/>
      <c r="C17" s="184" t="str">
        <f>各種設定!C18</f>
        <v>マツダ　ヒトミ</v>
      </c>
      <c r="D17" s="184"/>
      <c r="E17" s="82"/>
      <c r="F17" s="185" t="str">
        <f>各種設定!C11</f>
        <v>090-8657-6721</v>
      </c>
      <c r="G17" s="185"/>
      <c r="H17" s="185"/>
      <c r="I17" s="185"/>
    </row>
    <row r="18" spans="1:9" ht="14.25" x14ac:dyDescent="0.15">
      <c r="B18" s="169" t="s">
        <v>14</v>
      </c>
      <c r="C18" s="171">
        <f>I43</f>
        <v>4320</v>
      </c>
      <c r="D18" s="171"/>
      <c r="E18" s="82"/>
      <c r="F18" s="172" t="str">
        <f>各種設定!C12</f>
        <v>hitomi@1103slabo.com</v>
      </c>
      <c r="G18" s="172"/>
      <c r="H18" s="172"/>
      <c r="I18" s="172"/>
    </row>
    <row r="19" spans="1:9" ht="34.5" customHeight="1" x14ac:dyDescent="0.15">
      <c r="B19" s="170"/>
      <c r="C19" s="171"/>
      <c r="D19" s="171"/>
      <c r="E19" s="82"/>
      <c r="F19" s="82"/>
      <c r="G19" s="82"/>
      <c r="H19" s="82"/>
      <c r="I19" s="82"/>
    </row>
    <row r="20" spans="1:9" ht="12.75" customHeight="1" x14ac:dyDescent="0.15">
      <c r="B20" s="17"/>
      <c r="C20" s="17"/>
      <c r="D20" s="17"/>
      <c r="E20" s="82"/>
      <c r="F20" s="82"/>
      <c r="G20" s="82"/>
      <c r="H20" s="82"/>
      <c r="I20" s="82"/>
    </row>
    <row r="21" spans="1:9" ht="13.5" customHeight="1" x14ac:dyDescent="0.15">
      <c r="B21" s="25" t="s">
        <v>0</v>
      </c>
      <c r="C21" s="25"/>
      <c r="D21" s="25"/>
      <c r="E21" s="25"/>
      <c r="F21" s="25"/>
      <c r="G21" s="25"/>
      <c r="H21" s="25"/>
      <c r="I21" s="25"/>
    </row>
    <row r="22" spans="1:9" ht="13.5" customHeight="1" x14ac:dyDescent="0.15">
      <c r="B22" s="25" t="s">
        <v>15</v>
      </c>
      <c r="C22" s="25"/>
      <c r="D22" s="25"/>
      <c r="E22" s="25"/>
      <c r="F22" s="25"/>
      <c r="G22" s="25"/>
      <c r="H22" s="25"/>
      <c r="I22" s="25"/>
    </row>
    <row r="23" spans="1:9" ht="13.5" customHeight="1" x14ac:dyDescent="0.15">
      <c r="B23" s="25"/>
      <c r="C23" s="25"/>
      <c r="D23" s="25"/>
      <c r="E23" s="25"/>
      <c r="F23" s="25"/>
      <c r="G23" s="25"/>
      <c r="H23" s="25"/>
      <c r="I23" s="25"/>
    </row>
    <row r="24" spans="1:9" ht="13.5" customHeight="1" x14ac:dyDescent="0.15">
      <c r="B24" s="25"/>
      <c r="C24" s="25"/>
      <c r="D24" s="25"/>
      <c r="E24" s="25"/>
      <c r="F24" s="25"/>
      <c r="G24" s="25"/>
      <c r="H24" s="25"/>
      <c r="I24" s="25"/>
    </row>
    <row r="25" spans="1:9" ht="13.5" customHeight="1" x14ac:dyDescent="0.15">
      <c r="B25" s="19" t="s">
        <v>1</v>
      </c>
      <c r="C25" s="18"/>
      <c r="D25" s="18"/>
      <c r="E25" s="18"/>
      <c r="F25" s="18"/>
      <c r="G25" s="18"/>
      <c r="H25" s="18"/>
      <c r="I25" s="18"/>
    </row>
    <row r="26" spans="1:9" s="44" customFormat="1" ht="20.25" customHeight="1" x14ac:dyDescent="0.15">
      <c r="A26" s="44" t="s">
        <v>18</v>
      </c>
      <c r="B26" s="173" t="s">
        <v>26</v>
      </c>
      <c r="C26" s="173"/>
      <c r="D26" s="173"/>
      <c r="E26" s="173"/>
      <c r="F26" s="45" t="s">
        <v>2</v>
      </c>
      <c r="G26" s="45" t="s">
        <v>3</v>
      </c>
      <c r="H26" s="46" t="s">
        <v>11</v>
      </c>
      <c r="I26" s="46" t="s">
        <v>4</v>
      </c>
    </row>
    <row r="27" spans="1:9" ht="20.25" customHeight="1" x14ac:dyDescent="0.15">
      <c r="A27" s="1" t="s">
        <v>20</v>
      </c>
      <c r="B27" s="174" t="str">
        <f>IF(ISBLANK($A27),"",VLOOKUP($A27,商品マスタ!$A$2:$E$7,2,FALSE))</f>
        <v>PCトラブル・メール相談</v>
      </c>
      <c r="C27" s="175"/>
      <c r="D27" s="161">
        <f>IF(ISBLANK($A27),"",VLOOKUP($A27,商品マスタ!$A$2:$E$7,3,FALSE))</f>
        <v>0</v>
      </c>
      <c r="E27" s="162"/>
      <c r="F27" s="11">
        <f>IF(ISBLANK($A27),"",VLOOKUP($A27,商品マスタ!$A$2:$E$7,5,FALSE))</f>
        <v>1000</v>
      </c>
      <c r="G27" s="87">
        <v>1</v>
      </c>
      <c r="H27" s="47" t="str">
        <f>IF(ISBLANK($A27),"",VLOOKUP($A27,商品マスタ!$A$2:$E$7,4,FALSE))</f>
        <v>案件</v>
      </c>
      <c r="I27" s="13">
        <f>IF(G27="","",F27*G27)</f>
        <v>1000</v>
      </c>
    </row>
    <row r="28" spans="1:9" ht="20.25" customHeight="1" x14ac:dyDescent="0.15">
      <c r="A28" s="1" t="s">
        <v>29</v>
      </c>
      <c r="B28" s="167"/>
      <c r="C28" s="168"/>
      <c r="D28" s="161" t="str">
        <f>IF(ISBLANK($A28),"",VLOOKUP($A28,商品マスタ!$A$2:$E$7,3,FALSE))</f>
        <v>メール内容調査、原因対応資料作成</v>
      </c>
      <c r="E28" s="162"/>
      <c r="F28" s="11">
        <f>IF(ISBLANK($A28),"",VLOOKUP($A28,商品マスタ!$A$2:$E$7,5,FALSE))</f>
        <v>2000</v>
      </c>
      <c r="G28" s="87">
        <v>1.5</v>
      </c>
      <c r="H28" s="47" t="str">
        <f>IF(ISBLANK($A28),"",VLOOKUP($A28,商品マスタ!$A$2:$E$7,4,FALSE))</f>
        <v>時間</v>
      </c>
      <c r="I28" s="13">
        <f t="shared" ref="I28:I40" si="0">IF(G28="","",F28*G28)</f>
        <v>3000</v>
      </c>
    </row>
    <row r="29" spans="1:9" ht="20.25" customHeight="1" x14ac:dyDescent="0.15">
      <c r="B29" s="167" t="str">
        <f>IF(ISBLANK($A29),"",VLOOKUP($A29,#REF!,2,FALSE))</f>
        <v/>
      </c>
      <c r="C29" s="168"/>
      <c r="D29" s="161" t="str">
        <f>IF(ISBLANK($A29),"",VLOOKUP($A29,商品マスタ!$A$2:$E$7,3,FALSE))</f>
        <v/>
      </c>
      <c r="E29" s="162"/>
      <c r="F29" s="11" t="str">
        <f>IF(ISBLANK($A29),"",VLOOKUP($A29,商品マスタ!$A$2:$E$7,5,FALSE))</f>
        <v/>
      </c>
      <c r="G29" s="87"/>
      <c r="H29" s="47" t="str">
        <f>IF(ISBLANK($A29),"",VLOOKUP($A29,商品マスタ!$A$2:$E$7,4,FALSE))</f>
        <v/>
      </c>
      <c r="I29" s="13" t="str">
        <f t="shared" si="0"/>
        <v/>
      </c>
    </row>
    <row r="30" spans="1:9" ht="20.25" customHeight="1" x14ac:dyDescent="0.15">
      <c r="B30" s="159" t="str">
        <f>IF(ISBLANK($A30),"",VLOOKUP($A30,#REF!,2,FALSE))</f>
        <v/>
      </c>
      <c r="C30" s="160"/>
      <c r="D30" s="161" t="str">
        <f>IF(ISBLANK($A30),"",VLOOKUP($A30,商品マスタ!$A$2:$E$7,3,FALSE))</f>
        <v/>
      </c>
      <c r="E30" s="162"/>
      <c r="F30" s="11" t="str">
        <f>IF(ISBLANK($A30),"",VLOOKUP($A30,商品マスタ!$A$2:$E$7,5,FALSE))</f>
        <v/>
      </c>
      <c r="G30" s="88"/>
      <c r="H30" s="47" t="str">
        <f>IF(ISBLANK($A30),"",VLOOKUP($A30,商品マスタ!$A$2:$E$7,4,FALSE))</f>
        <v/>
      </c>
      <c r="I30" s="13" t="str">
        <f t="shared" si="0"/>
        <v/>
      </c>
    </row>
    <row r="31" spans="1:9" ht="20.25" customHeight="1" x14ac:dyDescent="0.15">
      <c r="B31" s="159" t="str">
        <f>IF(ISBLANK($A31),"",VLOOKUP($A31,#REF!,2,FALSE))</f>
        <v/>
      </c>
      <c r="C31" s="160"/>
      <c r="D31" s="161" t="str">
        <f>IF(ISBLANK($A31),"",VLOOKUP($A31,商品マスタ!$A$2:$E$7,3,FALSE))</f>
        <v/>
      </c>
      <c r="E31" s="162"/>
      <c r="F31" s="11" t="str">
        <f>IF(ISBLANK($A31),"",VLOOKUP($A31,商品マスタ!$A$2:$E$7,5,FALSE))</f>
        <v/>
      </c>
      <c r="G31" s="88"/>
      <c r="H31" s="47" t="str">
        <f>IF(ISBLANK($A31),"",VLOOKUP($A31,商品マスタ!$A$2:$E$7,4,FALSE))</f>
        <v/>
      </c>
      <c r="I31" s="13" t="str">
        <f t="shared" si="0"/>
        <v/>
      </c>
    </row>
    <row r="32" spans="1:9" ht="20.25" customHeight="1" x14ac:dyDescent="0.15">
      <c r="B32" s="159" t="str">
        <f>IF(ISBLANK($A32),"",VLOOKUP($A32,#REF!,2,FALSE))</f>
        <v/>
      </c>
      <c r="C32" s="160"/>
      <c r="D32" s="161" t="str">
        <f>IF(ISBLANK($A32),"",VLOOKUP($A32,商品マスタ!$A$2:$E$7,3,FALSE))</f>
        <v/>
      </c>
      <c r="E32" s="162"/>
      <c r="F32" s="11" t="str">
        <f>IF(ISBLANK($A32),"",VLOOKUP($A32,商品マスタ!$A$2:$E$7,5,FALSE))</f>
        <v/>
      </c>
      <c r="G32" s="88"/>
      <c r="H32" s="47" t="str">
        <f>IF(ISBLANK($A32),"",VLOOKUP($A32,商品マスタ!$A$2:$E$7,4,FALSE))</f>
        <v/>
      </c>
      <c r="I32" s="13" t="str">
        <f t="shared" si="0"/>
        <v/>
      </c>
    </row>
    <row r="33" spans="2:9" ht="20.25" customHeight="1" x14ac:dyDescent="0.15">
      <c r="B33" s="159" t="str">
        <f>IF(ISBLANK($A33),"",VLOOKUP($A33,#REF!,2,FALSE))</f>
        <v/>
      </c>
      <c r="C33" s="160"/>
      <c r="D33" s="161" t="str">
        <f>IF(ISBLANK($A33),"",VLOOKUP($A33,商品マスタ!$A$2:$E$7,3,FALSE))</f>
        <v/>
      </c>
      <c r="E33" s="162"/>
      <c r="F33" s="11" t="str">
        <f>IF(ISBLANK($A33),"",VLOOKUP($A33,商品マスタ!$A$2:$E$7,5,FALSE))</f>
        <v/>
      </c>
      <c r="G33" s="88"/>
      <c r="H33" s="47" t="str">
        <f>IF(ISBLANK($A33),"",VLOOKUP($A33,商品マスタ!$A$2:$E$7,4,FALSE))</f>
        <v/>
      </c>
      <c r="I33" s="13" t="str">
        <f t="shared" si="0"/>
        <v/>
      </c>
    </row>
    <row r="34" spans="2:9" ht="20.25" customHeight="1" x14ac:dyDescent="0.15">
      <c r="B34" s="159" t="str">
        <f>IF(ISBLANK($A34),"",VLOOKUP($A34,#REF!,2,FALSE))</f>
        <v/>
      </c>
      <c r="C34" s="160"/>
      <c r="D34" s="161" t="str">
        <f>IF(ISBLANK($A34),"",VLOOKUP($A34,商品マスタ!$A$2:$E$7,3,FALSE))</f>
        <v/>
      </c>
      <c r="E34" s="162"/>
      <c r="F34" s="11" t="str">
        <f>IF(ISBLANK($A34),"",VLOOKUP($A34,商品マスタ!$A$2:$E$7,5,FALSE))</f>
        <v/>
      </c>
      <c r="G34" s="88"/>
      <c r="H34" s="47" t="str">
        <f>IF(ISBLANK($A34),"",VLOOKUP($A34,商品マスタ!$A$2:$E$7,4,FALSE))</f>
        <v/>
      </c>
      <c r="I34" s="13" t="str">
        <f t="shared" si="0"/>
        <v/>
      </c>
    </row>
    <row r="35" spans="2:9" ht="20.25" customHeight="1" x14ac:dyDescent="0.15">
      <c r="B35" s="163" t="str">
        <f>IF(ISBLANK($A35),"",VLOOKUP($A35,#REF!,2,FALSE))</f>
        <v/>
      </c>
      <c r="C35" s="164"/>
      <c r="D35" s="165" t="str">
        <f>IF(ISBLANK($A35),"",VLOOKUP($A35,商品マスタ!$A$2:$E$7,3,FALSE))</f>
        <v/>
      </c>
      <c r="E35" s="166"/>
      <c r="F35" s="11" t="str">
        <f>IF(ISBLANK($A35),"",VLOOKUP($A35,商品マスタ!$A$2:$E$7,5,FALSE))</f>
        <v/>
      </c>
      <c r="G35" s="88"/>
      <c r="H35" s="47" t="str">
        <f>IF(ISBLANK($A35),"",VLOOKUP($A35,商品マスタ!$A$2:$E$7,4,FALSE))</f>
        <v/>
      </c>
      <c r="I35" s="13" t="str">
        <f t="shared" si="0"/>
        <v/>
      </c>
    </row>
    <row r="36" spans="2:9" ht="20.25" customHeight="1" x14ac:dyDescent="0.15">
      <c r="B36" s="163" t="str">
        <f>IF(ISBLANK($A36),"",VLOOKUP($A36,#REF!,2,FALSE))</f>
        <v/>
      </c>
      <c r="C36" s="164"/>
      <c r="D36" s="165" t="str">
        <f>IF(ISBLANK($A36),"",VLOOKUP($A36,商品マスタ!$A$2:$E$7,3,FALSE))</f>
        <v/>
      </c>
      <c r="E36" s="166"/>
      <c r="F36" s="11" t="str">
        <f>IF(ISBLANK($A36),"",VLOOKUP($A36,商品マスタ!$A$2:$E$7,5,FALSE))</f>
        <v/>
      </c>
      <c r="G36" s="88"/>
      <c r="H36" s="47" t="str">
        <f>IF(ISBLANK($A36),"",VLOOKUP($A36,商品マスタ!$A$2:$E$7,4,FALSE))</f>
        <v/>
      </c>
      <c r="I36" s="13" t="str">
        <f t="shared" si="0"/>
        <v/>
      </c>
    </row>
    <row r="37" spans="2:9" ht="20.25" customHeight="1" x14ac:dyDescent="0.15">
      <c r="B37" s="159" t="str">
        <f>IF(ISBLANK($A37),"",VLOOKUP($A37,#REF!,2,FALSE))</f>
        <v/>
      </c>
      <c r="C37" s="160"/>
      <c r="D37" s="161" t="str">
        <f>IF(ISBLANK($A37),"",VLOOKUP($A37,商品マスタ!$A$2:$E$7,3,FALSE))</f>
        <v/>
      </c>
      <c r="E37" s="162"/>
      <c r="F37" s="11" t="str">
        <f>IF(ISBLANK($A37),"",VLOOKUP($A37,商品マスタ!$A$2:$E$7,5,FALSE))</f>
        <v/>
      </c>
      <c r="G37" s="88"/>
      <c r="H37" s="47" t="str">
        <f>IF(ISBLANK($A37),"",VLOOKUP($A37,商品マスタ!$A$2:$E$7,4,FALSE))</f>
        <v/>
      </c>
      <c r="I37" s="13" t="str">
        <f t="shared" si="0"/>
        <v/>
      </c>
    </row>
    <row r="38" spans="2:9" ht="20.25" customHeight="1" x14ac:dyDescent="0.15">
      <c r="B38" s="159" t="str">
        <f>IF(ISBLANK($A38),"",VLOOKUP($A38,#REF!,2,FALSE))</f>
        <v/>
      </c>
      <c r="C38" s="160"/>
      <c r="D38" s="161" t="str">
        <f>IF(ISBLANK($A38),"",VLOOKUP($A38,商品マスタ!$A$2:$E$7,3,FALSE))</f>
        <v/>
      </c>
      <c r="E38" s="162"/>
      <c r="F38" s="11" t="str">
        <f>IF(ISBLANK($A38),"",VLOOKUP($A38,商品マスタ!$A$2:$E$7,5,FALSE))</f>
        <v/>
      </c>
      <c r="G38" s="89"/>
      <c r="H38" s="47" t="str">
        <f>IF(ISBLANK($A38),"",VLOOKUP($A38,商品マスタ!$A$2:$E$7,4,FALSE))</f>
        <v/>
      </c>
      <c r="I38" s="13" t="str">
        <f t="shared" si="0"/>
        <v/>
      </c>
    </row>
    <row r="39" spans="2:9" ht="20.25" customHeight="1" x14ac:dyDescent="0.15">
      <c r="B39" s="159" t="str">
        <f>IF(ISBLANK($A39),"",VLOOKUP($A39,#REF!,2,FALSE))</f>
        <v/>
      </c>
      <c r="C39" s="160"/>
      <c r="D39" s="161" t="str">
        <f>IF(ISBLANK($A39),"",VLOOKUP($A39,商品マスタ!$A$2:$E$7,3,FALSE))</f>
        <v/>
      </c>
      <c r="E39" s="162"/>
      <c r="F39" s="11" t="str">
        <f>IF(ISBLANK($A39),"",VLOOKUP($A39,商品マスタ!$A$2:$E$7,5,FALSE))</f>
        <v/>
      </c>
      <c r="G39" s="89"/>
      <c r="H39" s="47" t="str">
        <f>IF(ISBLANK($A39),"",VLOOKUP($A39,商品マスタ!$A$2:$E$7,4,FALSE))</f>
        <v/>
      </c>
      <c r="I39" s="13" t="str">
        <f t="shared" si="0"/>
        <v/>
      </c>
    </row>
    <row r="40" spans="2:9" ht="20.25" customHeight="1" x14ac:dyDescent="0.15">
      <c r="B40" s="151" t="str">
        <f>IF(ISBLANK($A40),"",VLOOKUP($A40,#REF!,2,FALSE))</f>
        <v/>
      </c>
      <c r="C40" s="152"/>
      <c r="D40" s="153" t="str">
        <f>IF(ISBLANK($A40),"",VLOOKUP($A40,商品マスタ!$A$2:$E$7,3,FALSE))</f>
        <v/>
      </c>
      <c r="E40" s="154"/>
      <c r="F40" s="11" t="str">
        <f>IF(ISBLANK($A40),"",VLOOKUP($A40,商品マスタ!$A$2:$E$7,5,FALSE))</f>
        <v/>
      </c>
      <c r="G40" s="90"/>
      <c r="H40" s="47" t="str">
        <f>IF(ISBLANK($A40),"",VLOOKUP($A40,商品マスタ!$A$2:$E$7,4,FALSE))</f>
        <v/>
      </c>
      <c r="I40" s="58" t="str">
        <f t="shared" si="0"/>
        <v/>
      </c>
    </row>
    <row r="41" spans="2:9" ht="18.75" customHeight="1" x14ac:dyDescent="0.15">
      <c r="F41" s="155" t="s">
        <v>5</v>
      </c>
      <c r="G41" s="155"/>
      <c r="H41" s="155"/>
      <c r="I41" s="50">
        <f>SUM(I27:I40)</f>
        <v>4000</v>
      </c>
    </row>
    <row r="42" spans="2:9" ht="18.75" customHeight="1" x14ac:dyDescent="0.15">
      <c r="F42" s="156" t="s">
        <v>6</v>
      </c>
      <c r="G42" s="156"/>
      <c r="H42" s="156"/>
      <c r="I42" s="50">
        <f>I41*0.08</f>
        <v>320</v>
      </c>
    </row>
    <row r="43" spans="2:9" ht="18.75" customHeight="1" thickBot="1" x14ac:dyDescent="0.2">
      <c r="F43" s="157" t="s">
        <v>7</v>
      </c>
      <c r="G43" s="157"/>
      <c r="H43" s="157"/>
      <c r="I43" s="51">
        <f>SUM(I41:I42)</f>
        <v>4320</v>
      </c>
    </row>
    <row r="44" spans="2:9" ht="13.5" customHeight="1" thickTop="1" x14ac:dyDescent="0.15"/>
    <row r="45" spans="2:9" ht="13.5" customHeight="1" x14ac:dyDescent="0.15">
      <c r="B45" s="19" t="s">
        <v>8</v>
      </c>
      <c r="C45" s="6"/>
      <c r="D45" s="6"/>
      <c r="E45" s="6"/>
      <c r="F45" s="6"/>
      <c r="G45" s="6"/>
      <c r="H45" s="6"/>
      <c r="I45" s="6"/>
    </row>
    <row r="46" spans="2:9" ht="4.5" customHeight="1" x14ac:dyDescent="0.15">
      <c r="B46" s="20"/>
      <c r="C46" s="7"/>
      <c r="D46" s="7"/>
      <c r="E46" s="7"/>
      <c r="F46" s="7"/>
    </row>
    <row r="47" spans="2:9" ht="13.5" customHeight="1" x14ac:dyDescent="0.15">
      <c r="B47" s="17"/>
    </row>
    <row r="48" spans="2:9" ht="13.5" customHeight="1" x14ac:dyDescent="0.15">
      <c r="B48" s="17"/>
    </row>
    <row r="49" spans="2:9" ht="13.5" customHeight="1" x14ac:dyDescent="0.15">
      <c r="B49" s="17"/>
    </row>
    <row r="50" spans="2:9" ht="13.5" customHeight="1" x14ac:dyDescent="0.15">
      <c r="B50" s="17"/>
    </row>
    <row r="51" spans="2:9" ht="13.5" customHeight="1" x14ac:dyDescent="0.15">
      <c r="B51" s="17"/>
    </row>
    <row r="52" spans="2:9" ht="13.5" customHeight="1" x14ac:dyDescent="0.15">
      <c r="B52" s="17"/>
    </row>
    <row r="53" spans="2:9" ht="13.5" customHeight="1" x14ac:dyDescent="0.15">
      <c r="B53" s="158"/>
      <c r="C53" s="158"/>
      <c r="D53" s="158"/>
      <c r="E53" s="158"/>
      <c r="F53" s="158"/>
      <c r="G53" s="158"/>
      <c r="H53" s="158"/>
      <c r="I53" s="158"/>
    </row>
  </sheetData>
  <mergeCells count="57">
    <mergeCell ref="C13:D13"/>
    <mergeCell ref="F13:I13"/>
    <mergeCell ref="B2:I2"/>
    <mergeCell ref="B3:I3"/>
    <mergeCell ref="F4:I4"/>
    <mergeCell ref="B5:D6"/>
    <mergeCell ref="F5:I5"/>
    <mergeCell ref="F6:I6"/>
    <mergeCell ref="B7:D8"/>
    <mergeCell ref="F7:I7"/>
    <mergeCell ref="E8:E10"/>
    <mergeCell ref="F8:I8"/>
    <mergeCell ref="B10:D10"/>
    <mergeCell ref="C14:D14"/>
    <mergeCell ref="F14:I14"/>
    <mergeCell ref="B15:B17"/>
    <mergeCell ref="C15:D15"/>
    <mergeCell ref="F15:I16"/>
    <mergeCell ref="C16:D16"/>
    <mergeCell ref="C17:D17"/>
    <mergeCell ref="F17:I17"/>
    <mergeCell ref="B18:B19"/>
    <mergeCell ref="C18:D19"/>
    <mergeCell ref="F18:I18"/>
    <mergeCell ref="B26:E26"/>
    <mergeCell ref="B27:C27"/>
    <mergeCell ref="D27:E27"/>
    <mergeCell ref="B28:C28"/>
    <mergeCell ref="D28:E28"/>
    <mergeCell ref="B29:C29"/>
    <mergeCell ref="D29:E29"/>
    <mergeCell ref="B30:C30"/>
    <mergeCell ref="D30:E30"/>
    <mergeCell ref="B31:C31"/>
    <mergeCell ref="D31:E31"/>
    <mergeCell ref="B32:C32"/>
    <mergeCell ref="D32:E32"/>
    <mergeCell ref="B33:C33"/>
    <mergeCell ref="D33:E33"/>
    <mergeCell ref="B34:C34"/>
    <mergeCell ref="D34:E34"/>
    <mergeCell ref="B35:C35"/>
    <mergeCell ref="D35:E35"/>
    <mergeCell ref="B36:C36"/>
    <mergeCell ref="D36:E36"/>
    <mergeCell ref="B53:I53"/>
    <mergeCell ref="B37:C37"/>
    <mergeCell ref="D37:E37"/>
    <mergeCell ref="B38:C38"/>
    <mergeCell ref="D38:E38"/>
    <mergeCell ref="B39:C39"/>
    <mergeCell ref="D39:E39"/>
    <mergeCell ref="B40:C40"/>
    <mergeCell ref="D40:E40"/>
    <mergeCell ref="F41:H41"/>
    <mergeCell ref="F42:H42"/>
    <mergeCell ref="F43:H43"/>
  </mergeCells>
  <phoneticPr fontId="4"/>
  <conditionalFormatting sqref="B27 D27 D29:D40 B29:B40 F27:I40">
    <cfRule type="expression" dxfId="14" priority="2">
      <formula>MOD(ROW(),2)=1</formula>
    </cfRule>
  </conditionalFormatting>
  <conditionalFormatting sqref="B28 D28">
    <cfRule type="expression" dxfId="13" priority="1">
      <formula>MOD(ROW(),2)=1</formula>
    </cfRule>
  </conditionalFormatting>
  <printOptions horizontalCentered="1"/>
  <pageMargins left="0.94488188976377963" right="0.47244094488188981" top="0.59055118110236227" bottom="0.59055118110236227" header="0.31496062992125984" footer="0.19685039370078741"/>
  <pageSetup paperSize="9" scale="92" orientation="portrait" horizontalDpi="4294967293" r:id="rId1"/>
  <headerFooter alignWithMargins="0"/>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FED69-BA56-4AB5-9D9D-6FC89BCCFA79}">
  <sheetPr codeName="Sheet17">
    <pageSetUpPr fitToPage="1"/>
  </sheetPr>
  <dimension ref="A2:I53"/>
  <sheetViews>
    <sheetView showGridLines="0" view="pageBreakPreview" topLeftCell="A24" zoomScaleNormal="100" zoomScaleSheetLayoutView="100" workbookViewId="0">
      <selection activeCell="F33" sqref="F33"/>
    </sheetView>
  </sheetViews>
  <sheetFormatPr defaultColWidth="3.125" defaultRowHeight="13.5" customHeight="1" x14ac:dyDescent="0.15"/>
  <cols>
    <col min="1" max="1" width="7.625" style="1" customWidth="1"/>
    <col min="2" max="2" width="13.875" style="1" customWidth="1"/>
    <col min="3" max="3" width="23.25" style="1" customWidth="1"/>
    <col min="4" max="4" width="11.125" style="1" customWidth="1"/>
    <col min="5" max="5" width="11.625" style="1" customWidth="1"/>
    <col min="6" max="6" width="11.125" style="1" customWidth="1"/>
    <col min="7" max="7" width="6.625" style="1" customWidth="1"/>
    <col min="8" max="8" width="6.125" style="1" customWidth="1"/>
    <col min="9" max="9" width="12.25" style="1" customWidth="1"/>
    <col min="10" max="16384" width="3.125" style="1"/>
  </cols>
  <sheetData>
    <row r="2" spans="2:9" ht="13.5" customHeight="1" x14ac:dyDescent="0.15">
      <c r="B2" s="158"/>
      <c r="C2" s="158"/>
      <c r="D2" s="158"/>
      <c r="E2" s="158"/>
      <c r="F2" s="158"/>
      <c r="G2" s="158"/>
      <c r="H2" s="158"/>
      <c r="I2" s="158"/>
    </row>
    <row r="3" spans="2:9" s="2" customFormat="1" ht="36.75" customHeight="1" x14ac:dyDescent="0.55000000000000004">
      <c r="B3" s="192" t="s">
        <v>22</v>
      </c>
      <c r="C3" s="192"/>
      <c r="D3" s="192"/>
      <c r="E3" s="192"/>
      <c r="F3" s="192"/>
      <c r="G3" s="192"/>
      <c r="H3" s="192"/>
      <c r="I3" s="192"/>
    </row>
    <row r="4" spans="2:9" ht="15" customHeight="1" x14ac:dyDescent="0.15">
      <c r="F4" s="193"/>
      <c r="G4" s="193"/>
      <c r="H4" s="193"/>
      <c r="I4" s="193"/>
    </row>
    <row r="5" spans="2:9" ht="13.5" customHeight="1" x14ac:dyDescent="0.15">
      <c r="B5" s="194" t="str">
        <f>VLOOKUP(F5,請求書履歴!$A$2:$E$40,3,FALSE)</f>
        <v>女性共同法律事務所</v>
      </c>
      <c r="C5" s="194"/>
      <c r="D5" s="194"/>
      <c r="E5" s="76"/>
      <c r="F5" s="195">
        <v>20200001</v>
      </c>
      <c r="G5" s="195"/>
      <c r="H5" s="195"/>
      <c r="I5" s="195"/>
    </row>
    <row r="6" spans="2:9" ht="13.5" customHeight="1" x14ac:dyDescent="0.15">
      <c r="B6" s="194"/>
      <c r="C6" s="194"/>
      <c r="D6" s="194"/>
      <c r="F6" s="196">
        <v>43946</v>
      </c>
      <c r="G6" s="196"/>
      <c r="H6" s="196"/>
      <c r="I6" s="196"/>
    </row>
    <row r="7" spans="2:9" ht="13.5" customHeight="1" x14ac:dyDescent="0.15">
      <c r="B7" s="186" t="str">
        <f>VLOOKUP(F5,請求書履歴!$A$2:$E$40,4,FALSE)&amp; " " &amp; VLOOKUP(F5,請求書履歴!$A$2:$E$40,5,FALSE)</f>
        <v>宮地 様</v>
      </c>
      <c r="C7" s="186"/>
      <c r="D7" s="186"/>
      <c r="F7" s="187"/>
      <c r="G7" s="187"/>
      <c r="H7" s="187"/>
      <c r="I7" s="187"/>
    </row>
    <row r="8" spans="2:9" ht="13.5" customHeight="1" x14ac:dyDescent="0.15">
      <c r="B8" s="186"/>
      <c r="C8" s="186"/>
      <c r="D8" s="186"/>
      <c r="E8" s="188"/>
      <c r="F8" s="177"/>
      <c r="G8" s="177"/>
      <c r="H8" s="177"/>
      <c r="I8" s="177"/>
    </row>
    <row r="9" spans="2:9" ht="13.5" customHeight="1" x14ac:dyDescent="0.15">
      <c r="B9" s="74"/>
      <c r="C9" s="74"/>
      <c r="D9" s="74"/>
      <c r="E9" s="188"/>
      <c r="F9" s="77"/>
      <c r="G9" s="77"/>
      <c r="H9" s="77"/>
      <c r="I9" s="77"/>
    </row>
    <row r="10" spans="2:9" ht="13.5" customHeight="1" x14ac:dyDescent="0.15">
      <c r="B10" s="189"/>
      <c r="C10" s="189"/>
      <c r="D10" s="189"/>
      <c r="E10" s="188"/>
      <c r="F10" s="75"/>
      <c r="G10" s="75"/>
      <c r="H10" s="75"/>
      <c r="I10" s="75"/>
    </row>
    <row r="11" spans="2:9" ht="13.5" customHeight="1" x14ac:dyDescent="0.15">
      <c r="B11" s="28" t="s">
        <v>23</v>
      </c>
      <c r="C11" s="17"/>
      <c r="D11" s="78"/>
      <c r="E11" s="4"/>
      <c r="F11" s="29"/>
      <c r="G11" s="75"/>
      <c r="H11" s="75"/>
      <c r="I11" s="30"/>
    </row>
    <row r="12" spans="2:9" ht="13.5" customHeight="1" x14ac:dyDescent="0.15">
      <c r="B12" s="52"/>
      <c r="C12" s="52"/>
      <c r="D12" s="52"/>
      <c r="E12" s="4"/>
      <c r="F12" s="31"/>
      <c r="G12" s="31"/>
      <c r="H12" s="31"/>
      <c r="I12" s="31"/>
    </row>
    <row r="13" spans="2:9" ht="21" customHeight="1" x14ac:dyDescent="0.4">
      <c r="B13" s="43" t="s">
        <v>12</v>
      </c>
      <c r="C13" s="190" t="s">
        <v>21</v>
      </c>
      <c r="D13" s="190"/>
      <c r="E13" s="4"/>
      <c r="F13" s="191">
        <f>各種設定!C6</f>
        <v>6390223</v>
      </c>
      <c r="G13" s="191"/>
      <c r="H13" s="191"/>
      <c r="I13" s="191"/>
    </row>
    <row r="14" spans="2:9" ht="21" customHeight="1" x14ac:dyDescent="0.4">
      <c r="B14" s="43" t="s">
        <v>25</v>
      </c>
      <c r="C14" s="176">
        <f>EDATE(F6,1)</f>
        <v>43976</v>
      </c>
      <c r="D14" s="176"/>
      <c r="E14" s="4"/>
      <c r="F14" s="177" t="str">
        <f>各種設定!C7</f>
        <v>奈良県香芝市真美ヶ丘7-1-2</v>
      </c>
      <c r="G14" s="177"/>
      <c r="H14" s="177"/>
      <c r="I14" s="177"/>
    </row>
    <row r="15" spans="2:9" ht="19.5" customHeight="1" x14ac:dyDescent="0.4">
      <c r="B15" s="178" t="s">
        <v>13</v>
      </c>
      <c r="C15" s="181" t="str">
        <f>各種設定!C15&amp;" 　"&amp;各種設定!C16</f>
        <v>りそな 銀行 　香芝 支店</v>
      </c>
      <c r="D15" s="181"/>
      <c r="E15" s="76"/>
      <c r="F15" s="182" t="str">
        <f>各種設定!C10</f>
        <v>松田　ひとみ</v>
      </c>
      <c r="G15" s="182"/>
      <c r="H15" s="182"/>
      <c r="I15" s="182"/>
    </row>
    <row r="16" spans="2:9" ht="16.5" x14ac:dyDescent="0.4">
      <c r="B16" s="179"/>
      <c r="C16" s="183" t="str">
        <f>各種設定!C17</f>
        <v>普通　6275173</v>
      </c>
      <c r="D16" s="183"/>
      <c r="F16" s="182"/>
      <c r="G16" s="182"/>
      <c r="H16" s="182"/>
      <c r="I16" s="182"/>
    </row>
    <row r="17" spans="1:9" ht="16.5" customHeight="1" x14ac:dyDescent="0.4">
      <c r="B17" s="180"/>
      <c r="C17" s="184" t="str">
        <f>各種設定!C18</f>
        <v>マツダ　ヒトミ</v>
      </c>
      <c r="D17" s="184"/>
      <c r="E17" s="76"/>
      <c r="F17" s="185" t="str">
        <f>各種設定!C11</f>
        <v>090-8657-6721</v>
      </c>
      <c r="G17" s="185"/>
      <c r="H17" s="185"/>
      <c r="I17" s="185"/>
    </row>
    <row r="18" spans="1:9" ht="14.25" x14ac:dyDescent="0.15">
      <c r="B18" s="169" t="s">
        <v>14</v>
      </c>
      <c r="C18" s="171">
        <f>I43</f>
        <v>1080</v>
      </c>
      <c r="D18" s="171"/>
      <c r="E18" s="76"/>
      <c r="F18" s="172" t="str">
        <f>各種設定!C12</f>
        <v>hitomi@1103slabo.com</v>
      </c>
      <c r="G18" s="172"/>
      <c r="H18" s="172"/>
      <c r="I18" s="172"/>
    </row>
    <row r="19" spans="1:9" ht="34.5" customHeight="1" x14ac:dyDescent="0.15">
      <c r="B19" s="170"/>
      <c r="C19" s="171"/>
      <c r="D19" s="171"/>
      <c r="E19" s="76"/>
      <c r="F19" s="76"/>
      <c r="G19" s="76"/>
      <c r="H19" s="76"/>
      <c r="I19" s="76"/>
    </row>
    <row r="20" spans="1:9" ht="12.75" customHeight="1" x14ac:dyDescent="0.15">
      <c r="B20" s="17"/>
      <c r="C20" s="17"/>
      <c r="D20" s="17"/>
      <c r="E20" s="76"/>
      <c r="F20" s="76"/>
      <c r="G20" s="76"/>
      <c r="H20" s="76"/>
      <c r="I20" s="76"/>
    </row>
    <row r="21" spans="1:9" ht="13.5" customHeight="1" x14ac:dyDescent="0.15">
      <c r="B21" s="25" t="s">
        <v>0</v>
      </c>
      <c r="C21" s="25"/>
      <c r="D21" s="25"/>
      <c r="E21" s="25"/>
      <c r="F21" s="25"/>
      <c r="G21" s="25"/>
      <c r="H21" s="25"/>
      <c r="I21" s="25"/>
    </row>
    <row r="22" spans="1:9" ht="13.5" customHeight="1" x14ac:dyDescent="0.15">
      <c r="B22" s="25" t="s">
        <v>15</v>
      </c>
      <c r="C22" s="25"/>
      <c r="D22" s="25"/>
      <c r="E22" s="25"/>
      <c r="F22" s="25"/>
      <c r="G22" s="25"/>
      <c r="H22" s="25"/>
      <c r="I22" s="25"/>
    </row>
    <row r="23" spans="1:9" ht="13.5" customHeight="1" x14ac:dyDescent="0.15">
      <c r="B23" s="25"/>
      <c r="C23" s="25"/>
      <c r="D23" s="25"/>
      <c r="E23" s="25"/>
      <c r="F23" s="25"/>
      <c r="G23" s="25"/>
      <c r="H23" s="25"/>
      <c r="I23" s="25"/>
    </row>
    <row r="24" spans="1:9" ht="13.5" customHeight="1" x14ac:dyDescent="0.15">
      <c r="B24" s="25"/>
      <c r="C24" s="25"/>
      <c r="D24" s="25"/>
      <c r="E24" s="25"/>
      <c r="F24" s="25"/>
      <c r="G24" s="25"/>
      <c r="H24" s="25"/>
      <c r="I24" s="25"/>
    </row>
    <row r="25" spans="1:9" ht="13.5" customHeight="1" x14ac:dyDescent="0.15">
      <c r="B25" s="19" t="s">
        <v>1</v>
      </c>
      <c r="C25" s="18"/>
      <c r="D25" s="18"/>
      <c r="E25" s="18"/>
      <c r="F25" s="18"/>
      <c r="G25" s="18"/>
      <c r="H25" s="18"/>
      <c r="I25" s="18"/>
    </row>
    <row r="26" spans="1:9" s="44" customFormat="1" ht="20.25" customHeight="1" x14ac:dyDescent="0.15">
      <c r="A26" s="44" t="s">
        <v>18</v>
      </c>
      <c r="B26" s="173" t="s">
        <v>26</v>
      </c>
      <c r="C26" s="173"/>
      <c r="D26" s="173"/>
      <c r="E26" s="173"/>
      <c r="F26" s="45" t="s">
        <v>2</v>
      </c>
      <c r="G26" s="45" t="s">
        <v>3</v>
      </c>
      <c r="H26" s="46" t="s">
        <v>11</v>
      </c>
      <c r="I26" s="46" t="s">
        <v>4</v>
      </c>
    </row>
    <row r="27" spans="1:9" ht="20.25" customHeight="1" x14ac:dyDescent="0.15">
      <c r="A27" s="1" t="s">
        <v>20</v>
      </c>
      <c r="B27" s="174" t="str">
        <f>IF(ISBLANK($A27),"",VLOOKUP($A27,商品マスタ!$A$2:$E$7,2,FALSE))</f>
        <v>PCトラブル・メール相談</v>
      </c>
      <c r="C27" s="175"/>
      <c r="D27" s="161">
        <f>IF(ISBLANK($A27),"",VLOOKUP($A27,商品マスタ!$A$2:$E$7,3,FALSE))</f>
        <v>0</v>
      </c>
      <c r="E27" s="162"/>
      <c r="F27" s="11">
        <f>IF(ISBLANK($A27),"",VLOOKUP($A27,商品マスタ!$A$2:$E$7,5,FALSE))</f>
        <v>1000</v>
      </c>
      <c r="G27" s="49">
        <v>1</v>
      </c>
      <c r="H27" s="47" t="str">
        <f>IF(ISBLANK($A27),"",VLOOKUP($A27,商品マスタ!$A$2:$E$7,4,FALSE))</f>
        <v>案件</v>
      </c>
      <c r="I27" s="13">
        <f>IF(G27="","",F27*G27)</f>
        <v>1000</v>
      </c>
    </row>
    <row r="28" spans="1:9" ht="20.25" customHeight="1" x14ac:dyDescent="0.15">
      <c r="B28" s="167" t="str">
        <f>IF(ISBLANK($A28),"",VLOOKUP($A28,#REF!,2,FALSE))</f>
        <v/>
      </c>
      <c r="C28" s="168"/>
      <c r="D28" s="161" t="str">
        <f>IF(ISBLANK($A28),"",VLOOKUP($A28,商品マスタ!$A$2:$E$7,3,FALSE))</f>
        <v/>
      </c>
      <c r="E28" s="162"/>
      <c r="F28" s="11" t="str">
        <f>IF(ISBLANK($A28),"",VLOOKUP($A28,商品マスタ!$A$2:$E$7,5,FALSE))</f>
        <v/>
      </c>
      <c r="G28" s="49"/>
      <c r="H28" s="47" t="str">
        <f>IF(ISBLANK($A28),"",VLOOKUP($A28,商品マスタ!$A$2:$E$7,4,FALSE))</f>
        <v/>
      </c>
      <c r="I28" s="13" t="str">
        <f t="shared" ref="I28:I29" si="0">IF(G28="","",F28*G28)</f>
        <v/>
      </c>
    </row>
    <row r="29" spans="1:9" ht="20.25" customHeight="1" x14ac:dyDescent="0.15">
      <c r="B29" s="167" t="str">
        <f>IF(ISBLANK($A29),"",VLOOKUP($A29,#REF!,2,FALSE))</f>
        <v/>
      </c>
      <c r="C29" s="168"/>
      <c r="D29" s="161" t="str">
        <f>IF(ISBLANK($A29),"",VLOOKUP($A29,商品マスタ!$A$2:$E$7,3,FALSE))</f>
        <v/>
      </c>
      <c r="E29" s="162"/>
      <c r="F29" s="11" t="str">
        <f>IF(ISBLANK($A29),"",VLOOKUP($A29,商品マスタ!$A$2:$E$7,5,FALSE))</f>
        <v/>
      </c>
      <c r="G29" s="49"/>
      <c r="H29" s="47" t="str">
        <f>IF(ISBLANK($A29),"",VLOOKUP($A29,商品マスタ!$A$2:$E$7,4,FALSE))</f>
        <v/>
      </c>
      <c r="I29" s="13" t="str">
        <f t="shared" si="0"/>
        <v/>
      </c>
    </row>
    <row r="30" spans="1:9" ht="20.25" customHeight="1" x14ac:dyDescent="0.15">
      <c r="B30" s="159" t="str">
        <f>IF(ISBLANK($A30),"",VLOOKUP($A30,#REF!,2,FALSE))</f>
        <v/>
      </c>
      <c r="C30" s="160"/>
      <c r="D30" s="161" t="str">
        <f>IF(ISBLANK($A30),"",VLOOKUP($A30,商品マスタ!$A$2:$E$7,3,FALSE))</f>
        <v/>
      </c>
      <c r="E30" s="162"/>
      <c r="F30" s="11" t="str">
        <f>IF(ISBLANK($A30),"",VLOOKUP($A30,商品マスタ!$A$2:$E$7,5,FALSE))</f>
        <v/>
      </c>
      <c r="G30" s="12"/>
      <c r="H30" s="47" t="str">
        <f>IF(ISBLANK($A30),"",VLOOKUP($A30,商品マスタ!$A$2:$E$7,4,FALSE))</f>
        <v/>
      </c>
      <c r="I30" s="13"/>
    </row>
    <row r="31" spans="1:9" ht="20.25" customHeight="1" x14ac:dyDescent="0.15">
      <c r="B31" s="159" t="str">
        <f>IF(ISBLANK($A31),"",VLOOKUP($A31,#REF!,2,FALSE))</f>
        <v/>
      </c>
      <c r="C31" s="160"/>
      <c r="D31" s="161" t="str">
        <f>IF(ISBLANK($A31),"",VLOOKUP($A31,商品マスタ!$A$2:$E$7,3,FALSE))</f>
        <v/>
      </c>
      <c r="E31" s="162"/>
      <c r="F31" s="11" t="str">
        <f>IF(ISBLANK($A31),"",VLOOKUP($A31,商品マスタ!$A$2:$E$7,5,FALSE))</f>
        <v/>
      </c>
      <c r="G31" s="12"/>
      <c r="H31" s="47" t="str">
        <f>IF(ISBLANK($A31),"",VLOOKUP($A31,商品マスタ!$A$2:$E$7,4,FALSE))</f>
        <v/>
      </c>
      <c r="I31" s="13"/>
    </row>
    <row r="32" spans="1:9" ht="20.25" customHeight="1" x14ac:dyDescent="0.15">
      <c r="B32" s="159" t="str">
        <f>IF(ISBLANK($A32),"",VLOOKUP($A32,#REF!,2,FALSE))</f>
        <v/>
      </c>
      <c r="C32" s="160"/>
      <c r="D32" s="161" t="str">
        <f>IF(ISBLANK($A32),"",VLOOKUP($A32,商品マスタ!$A$2:$E$7,3,FALSE))</f>
        <v/>
      </c>
      <c r="E32" s="162"/>
      <c r="F32" s="11" t="str">
        <f>IF(ISBLANK($A32),"",VLOOKUP($A32,商品マスタ!$A$2:$E$7,5,FALSE))</f>
        <v/>
      </c>
      <c r="G32" s="12"/>
      <c r="H32" s="47" t="str">
        <f>IF(ISBLANK($A32),"",VLOOKUP($A32,商品マスタ!$A$2:$E$7,4,FALSE))</f>
        <v/>
      </c>
      <c r="I32" s="13"/>
    </row>
    <row r="33" spans="2:9" ht="20.25" customHeight="1" x14ac:dyDescent="0.15">
      <c r="B33" s="159" t="str">
        <f>IF(ISBLANK($A33),"",VLOOKUP($A33,#REF!,2,FALSE))</f>
        <v/>
      </c>
      <c r="C33" s="160"/>
      <c r="D33" s="161" t="str">
        <f>IF(ISBLANK($A33),"",VLOOKUP($A33,商品マスタ!$A$2:$E$7,3,FALSE))</f>
        <v/>
      </c>
      <c r="E33" s="162"/>
      <c r="F33" s="11" t="str">
        <f>IF(ISBLANK($A33),"",VLOOKUP($A33,商品マスタ!$A$2:$E$7,5,FALSE))</f>
        <v/>
      </c>
      <c r="G33" s="12"/>
      <c r="H33" s="47" t="str">
        <f>IF(ISBLANK($A33),"",VLOOKUP($A33,商品マスタ!$A$2:$E$7,4,FALSE))</f>
        <v/>
      </c>
      <c r="I33" s="13"/>
    </row>
    <row r="34" spans="2:9" ht="20.25" customHeight="1" x14ac:dyDescent="0.15">
      <c r="B34" s="159" t="str">
        <f>IF(ISBLANK($A34),"",VLOOKUP($A34,#REF!,2,FALSE))</f>
        <v/>
      </c>
      <c r="C34" s="160"/>
      <c r="D34" s="161" t="str">
        <f>IF(ISBLANK($A34),"",VLOOKUP($A34,商品マスタ!$A$2:$E$7,3,FALSE))</f>
        <v/>
      </c>
      <c r="E34" s="162"/>
      <c r="F34" s="11" t="str">
        <f>IF(ISBLANK($A34),"",VLOOKUP($A34,商品マスタ!$A$2:$E$7,5,FALSE))</f>
        <v/>
      </c>
      <c r="G34" s="12"/>
      <c r="H34" s="47" t="str">
        <f>IF(ISBLANK($A34),"",VLOOKUP($A34,商品マスタ!$A$2:$E$7,4,FALSE))</f>
        <v/>
      </c>
      <c r="I34" s="13"/>
    </row>
    <row r="35" spans="2:9" ht="20.25" customHeight="1" x14ac:dyDescent="0.15">
      <c r="B35" s="163" t="str">
        <f>IF(ISBLANK($A35),"",VLOOKUP($A35,#REF!,2,FALSE))</f>
        <v/>
      </c>
      <c r="C35" s="164"/>
      <c r="D35" s="165" t="str">
        <f>IF(ISBLANK($A35),"",VLOOKUP($A35,商品マスタ!$A$2:$E$7,3,FALSE))</f>
        <v/>
      </c>
      <c r="E35" s="166"/>
      <c r="F35" s="11" t="str">
        <f>IF(ISBLANK($A35),"",VLOOKUP($A35,商品マスタ!$A$2:$E$7,5,FALSE))</f>
        <v/>
      </c>
      <c r="G35" s="12"/>
      <c r="H35" s="47" t="str">
        <f>IF(ISBLANK($A35),"",VLOOKUP($A35,商品マスタ!$A$2:$E$7,4,FALSE))</f>
        <v/>
      </c>
      <c r="I35" s="13"/>
    </row>
    <row r="36" spans="2:9" ht="20.25" customHeight="1" x14ac:dyDescent="0.15">
      <c r="B36" s="163" t="str">
        <f>IF(ISBLANK($A36),"",VLOOKUP($A36,#REF!,2,FALSE))</f>
        <v/>
      </c>
      <c r="C36" s="164"/>
      <c r="D36" s="165" t="str">
        <f>IF(ISBLANK($A36),"",VLOOKUP($A36,商品マスタ!$A$2:$E$7,3,FALSE))</f>
        <v/>
      </c>
      <c r="E36" s="166"/>
      <c r="F36" s="11" t="str">
        <f>IF(ISBLANK($A36),"",VLOOKUP($A36,商品マスタ!$A$2:$E$7,5,FALSE))</f>
        <v/>
      </c>
      <c r="G36" s="12"/>
      <c r="H36" s="47" t="str">
        <f>IF(ISBLANK($A36),"",VLOOKUP($A36,商品マスタ!$A$2:$E$7,4,FALSE))</f>
        <v/>
      </c>
      <c r="I36" s="13"/>
    </row>
    <row r="37" spans="2:9" ht="20.25" customHeight="1" x14ac:dyDescent="0.15">
      <c r="B37" s="159" t="str">
        <f>IF(ISBLANK($A37),"",VLOOKUP($A37,#REF!,2,FALSE))</f>
        <v/>
      </c>
      <c r="C37" s="160"/>
      <c r="D37" s="161" t="str">
        <f>IF(ISBLANK($A37),"",VLOOKUP($A37,商品マスタ!$A$2:$E$7,3,FALSE))</f>
        <v/>
      </c>
      <c r="E37" s="162"/>
      <c r="F37" s="11" t="str">
        <f>IF(ISBLANK($A37),"",VLOOKUP($A37,商品マスタ!$A$2:$E$7,5,FALSE))</f>
        <v/>
      </c>
      <c r="G37" s="12"/>
      <c r="H37" s="47" t="str">
        <f>IF(ISBLANK($A37),"",VLOOKUP($A37,商品マスタ!$A$2:$E$7,4,FALSE))</f>
        <v/>
      </c>
      <c r="I37" s="13"/>
    </row>
    <row r="38" spans="2:9" ht="20.25" customHeight="1" x14ac:dyDescent="0.15">
      <c r="B38" s="159" t="str">
        <f>IF(ISBLANK($A38),"",VLOOKUP($A38,#REF!,2,FALSE))</f>
        <v/>
      </c>
      <c r="C38" s="160"/>
      <c r="D38" s="161" t="str">
        <f>IF(ISBLANK($A38),"",VLOOKUP($A38,商品マスタ!$A$2:$E$7,3,FALSE))</f>
        <v/>
      </c>
      <c r="E38" s="162"/>
      <c r="F38" s="11" t="str">
        <f>IF(ISBLANK($A38),"",VLOOKUP($A38,商品マスタ!$A$2:$E$7,5,FALSE))</f>
        <v/>
      </c>
      <c r="G38" s="14"/>
      <c r="H38" s="47" t="str">
        <f>IF(ISBLANK($A38),"",VLOOKUP($A38,商品マスタ!$A$2:$E$7,4,FALSE))</f>
        <v/>
      </c>
      <c r="I38" s="13" t="str">
        <f>IF(G38="","",F38*G38)</f>
        <v/>
      </c>
    </row>
    <row r="39" spans="2:9" ht="20.25" customHeight="1" x14ac:dyDescent="0.15">
      <c r="B39" s="159" t="str">
        <f>IF(ISBLANK($A39),"",VLOOKUP($A39,#REF!,2,FALSE))</f>
        <v/>
      </c>
      <c r="C39" s="160"/>
      <c r="D39" s="161" t="str">
        <f>IF(ISBLANK($A39),"",VLOOKUP($A39,商品マスタ!$A$2:$E$7,3,FALSE))</f>
        <v/>
      </c>
      <c r="E39" s="162"/>
      <c r="F39" s="11" t="str">
        <f>IF(ISBLANK($A39),"",VLOOKUP($A39,商品マスタ!$A$2:$E$7,5,FALSE))</f>
        <v/>
      </c>
      <c r="G39" s="14"/>
      <c r="H39" s="47" t="str">
        <f>IF(ISBLANK($A39),"",VLOOKUP($A39,商品マスタ!$A$2:$E$7,4,FALSE))</f>
        <v/>
      </c>
      <c r="I39" s="13" t="str">
        <f>IF(G39="","",F39*G39)</f>
        <v/>
      </c>
    </row>
    <row r="40" spans="2:9" ht="20.25" customHeight="1" x14ac:dyDescent="0.15">
      <c r="B40" s="151" t="str">
        <f>IF(ISBLANK($A40),"",VLOOKUP($A40,#REF!,2,FALSE))</f>
        <v/>
      </c>
      <c r="C40" s="152"/>
      <c r="D40" s="153" t="str">
        <f>IF(ISBLANK($A40),"",VLOOKUP($A40,商品マスタ!$A$2:$E$7,3,FALSE))</f>
        <v/>
      </c>
      <c r="E40" s="154"/>
      <c r="F40" s="11" t="str">
        <f>IF(ISBLANK($A40),"",VLOOKUP($A40,商品マスタ!$A$2:$E$7,5,FALSE))</f>
        <v/>
      </c>
      <c r="G40" s="16"/>
      <c r="H40" s="47" t="str">
        <f>IF(ISBLANK($A40),"",VLOOKUP($A40,商品マスタ!$A$2:$E$7,4,FALSE))</f>
        <v/>
      </c>
      <c r="I40" s="58" t="str">
        <f>IF(G40="","",F40*G40)</f>
        <v/>
      </c>
    </row>
    <row r="41" spans="2:9" ht="18.75" customHeight="1" x14ac:dyDescent="0.15">
      <c r="F41" s="155" t="s">
        <v>5</v>
      </c>
      <c r="G41" s="155"/>
      <c r="H41" s="155"/>
      <c r="I41" s="50">
        <f>SUM(I27:I40)</f>
        <v>1000</v>
      </c>
    </row>
    <row r="42" spans="2:9" ht="18.75" customHeight="1" x14ac:dyDescent="0.15">
      <c r="F42" s="156" t="s">
        <v>6</v>
      </c>
      <c r="G42" s="156"/>
      <c r="H42" s="156"/>
      <c r="I42" s="50">
        <f>I41*0.08</f>
        <v>80</v>
      </c>
    </row>
    <row r="43" spans="2:9" ht="18.75" customHeight="1" thickBot="1" x14ac:dyDescent="0.2">
      <c r="F43" s="157" t="s">
        <v>7</v>
      </c>
      <c r="G43" s="157"/>
      <c r="H43" s="157"/>
      <c r="I43" s="51">
        <f>SUM(I41:I42)</f>
        <v>1080</v>
      </c>
    </row>
    <row r="44" spans="2:9" ht="13.5" customHeight="1" thickTop="1" x14ac:dyDescent="0.15"/>
    <row r="45" spans="2:9" ht="13.5" customHeight="1" x14ac:dyDescent="0.15">
      <c r="B45" s="19" t="s">
        <v>8</v>
      </c>
      <c r="C45" s="6"/>
      <c r="D45" s="6"/>
      <c r="E45" s="6"/>
      <c r="F45" s="6"/>
      <c r="G45" s="6"/>
      <c r="H45" s="6"/>
      <c r="I45" s="6"/>
    </row>
    <row r="46" spans="2:9" ht="4.5" customHeight="1" x14ac:dyDescent="0.15">
      <c r="B46" s="20"/>
      <c r="C46" s="7"/>
      <c r="D46" s="7"/>
      <c r="E46" s="7"/>
      <c r="F46" s="7"/>
    </row>
    <row r="47" spans="2:9" ht="13.5" customHeight="1" x14ac:dyDescent="0.15">
      <c r="B47" s="17"/>
    </row>
    <row r="48" spans="2:9" ht="13.5" customHeight="1" x14ac:dyDescent="0.15">
      <c r="B48" s="17"/>
    </row>
    <row r="49" spans="2:9" ht="13.5" customHeight="1" x14ac:dyDescent="0.15">
      <c r="B49" s="17"/>
    </row>
    <row r="50" spans="2:9" ht="13.5" customHeight="1" x14ac:dyDescent="0.15">
      <c r="B50" s="17"/>
    </row>
    <row r="51" spans="2:9" ht="13.5" customHeight="1" x14ac:dyDescent="0.15">
      <c r="B51" s="17"/>
    </row>
    <row r="52" spans="2:9" ht="13.5" customHeight="1" x14ac:dyDescent="0.15">
      <c r="B52" s="17"/>
    </row>
    <row r="53" spans="2:9" ht="13.5" customHeight="1" x14ac:dyDescent="0.15">
      <c r="B53" s="158"/>
      <c r="C53" s="158"/>
      <c r="D53" s="158"/>
      <c r="E53" s="158"/>
      <c r="F53" s="158"/>
      <c r="G53" s="158"/>
      <c r="H53" s="158"/>
      <c r="I53" s="158"/>
    </row>
  </sheetData>
  <mergeCells count="57">
    <mergeCell ref="B53:I53"/>
    <mergeCell ref="B37:C37"/>
    <mergeCell ref="D37:E37"/>
    <mergeCell ref="B38:C38"/>
    <mergeCell ref="D38:E38"/>
    <mergeCell ref="B39:C39"/>
    <mergeCell ref="D39:E39"/>
    <mergeCell ref="B40:C40"/>
    <mergeCell ref="D40:E40"/>
    <mergeCell ref="F41:H41"/>
    <mergeCell ref="F42:H42"/>
    <mergeCell ref="F43:H43"/>
    <mergeCell ref="B34:C34"/>
    <mergeCell ref="D34:E34"/>
    <mergeCell ref="B35:C35"/>
    <mergeCell ref="D35:E35"/>
    <mergeCell ref="B36:C36"/>
    <mergeCell ref="D36:E36"/>
    <mergeCell ref="B31:C31"/>
    <mergeCell ref="D31:E31"/>
    <mergeCell ref="B32:C32"/>
    <mergeCell ref="D32:E32"/>
    <mergeCell ref="B33:C33"/>
    <mergeCell ref="D33:E33"/>
    <mergeCell ref="B28:C28"/>
    <mergeCell ref="D28:E28"/>
    <mergeCell ref="B29:C29"/>
    <mergeCell ref="D29:E29"/>
    <mergeCell ref="B30:C30"/>
    <mergeCell ref="D30:E30"/>
    <mergeCell ref="B18:B19"/>
    <mergeCell ref="C18:D19"/>
    <mergeCell ref="F18:I18"/>
    <mergeCell ref="B26:E26"/>
    <mergeCell ref="B27:C27"/>
    <mergeCell ref="D27:E27"/>
    <mergeCell ref="C14:D14"/>
    <mergeCell ref="F14:I14"/>
    <mergeCell ref="B15:B17"/>
    <mergeCell ref="C15:D15"/>
    <mergeCell ref="F15:I16"/>
    <mergeCell ref="C16:D16"/>
    <mergeCell ref="C17:D17"/>
    <mergeCell ref="F17:I17"/>
    <mergeCell ref="C13:D13"/>
    <mergeCell ref="F13:I13"/>
    <mergeCell ref="B2:I2"/>
    <mergeCell ref="B3:I3"/>
    <mergeCell ref="F4:I4"/>
    <mergeCell ref="B5:D6"/>
    <mergeCell ref="F5:I5"/>
    <mergeCell ref="F6:I6"/>
    <mergeCell ref="B7:D8"/>
    <mergeCell ref="F7:I7"/>
    <mergeCell ref="E8:E10"/>
    <mergeCell ref="F8:I8"/>
    <mergeCell ref="B10:D10"/>
  </mergeCells>
  <phoneticPr fontId="4"/>
  <conditionalFormatting sqref="B27 D27 D29:D40 B29:B40 F27:I40">
    <cfRule type="expression" dxfId="12" priority="2">
      <formula>MOD(ROW(),2)=1</formula>
    </cfRule>
  </conditionalFormatting>
  <conditionalFormatting sqref="B28 D28">
    <cfRule type="expression" dxfId="11" priority="1">
      <formula>MOD(ROW(),2)=1</formula>
    </cfRule>
  </conditionalFormatting>
  <printOptions horizontalCentered="1"/>
  <pageMargins left="0.94488188976377963" right="0.47244094488188981" top="0.59055118110236227" bottom="0.59055118110236227" header="0.31496062992125984" footer="0.19685039370078741"/>
  <pageSetup paperSize="9" scale="92" orientation="portrait" horizontalDpi="4294967293"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8">
    <pageSetUpPr fitToPage="1"/>
  </sheetPr>
  <dimension ref="A2:I53"/>
  <sheetViews>
    <sheetView showGridLines="0" view="pageBreakPreview" zoomScaleNormal="100" zoomScaleSheetLayoutView="100" workbookViewId="0">
      <selection activeCell="F33" sqref="F33"/>
    </sheetView>
  </sheetViews>
  <sheetFormatPr defaultColWidth="3.125" defaultRowHeight="13.5" customHeight="1" x14ac:dyDescent="0.15"/>
  <cols>
    <col min="1" max="1" width="7.625" style="1" customWidth="1"/>
    <col min="2" max="2" width="13.875" style="1" customWidth="1"/>
    <col min="3" max="3" width="23.25" style="1" customWidth="1"/>
    <col min="4" max="4" width="11.125" style="1" customWidth="1"/>
    <col min="5" max="5" width="11.625" style="1" customWidth="1"/>
    <col min="6" max="6" width="11.125" style="1" customWidth="1"/>
    <col min="7" max="7" width="6.625" style="1" customWidth="1"/>
    <col min="8" max="8" width="6.125" style="1" customWidth="1"/>
    <col min="9" max="9" width="12.25" style="1" customWidth="1"/>
    <col min="10" max="16384" width="3.125" style="1"/>
  </cols>
  <sheetData>
    <row r="2" spans="2:9" ht="13.5" customHeight="1" x14ac:dyDescent="0.15">
      <c r="B2" s="158"/>
      <c r="C2" s="158"/>
      <c r="D2" s="158"/>
      <c r="E2" s="158"/>
      <c r="F2" s="158"/>
      <c r="G2" s="158"/>
      <c r="H2" s="158"/>
      <c r="I2" s="158"/>
    </row>
    <row r="3" spans="2:9" s="2" customFormat="1" ht="36.75" customHeight="1" x14ac:dyDescent="0.55000000000000004">
      <c r="B3" s="192" t="s">
        <v>22</v>
      </c>
      <c r="C3" s="192"/>
      <c r="D3" s="192"/>
      <c r="E3" s="192"/>
      <c r="F3" s="192"/>
      <c r="G3" s="192"/>
      <c r="H3" s="192"/>
      <c r="I3" s="192"/>
    </row>
    <row r="4" spans="2:9" ht="15" customHeight="1" x14ac:dyDescent="0.15">
      <c r="F4" s="193"/>
      <c r="G4" s="193"/>
      <c r="H4" s="193"/>
      <c r="I4" s="193"/>
    </row>
    <row r="5" spans="2:9" ht="13.5" customHeight="1" x14ac:dyDescent="0.15">
      <c r="B5" s="194" t="str">
        <f>VLOOKUP(F5,請求書履歴!$A$2:$E$40,3,FALSE)</f>
        <v>女性共同法律事務所</v>
      </c>
      <c r="C5" s="194"/>
      <c r="D5" s="194"/>
      <c r="E5" s="71"/>
      <c r="F5" s="195">
        <v>20190001</v>
      </c>
      <c r="G5" s="195"/>
      <c r="H5" s="195"/>
      <c r="I5" s="195"/>
    </row>
    <row r="6" spans="2:9" ht="13.5" customHeight="1" x14ac:dyDescent="0.15">
      <c r="B6" s="194"/>
      <c r="C6" s="194"/>
      <c r="D6" s="194"/>
      <c r="F6" s="196">
        <v>43612</v>
      </c>
      <c r="G6" s="196"/>
      <c r="H6" s="196"/>
      <c r="I6" s="196"/>
    </row>
    <row r="7" spans="2:9" ht="13.5" customHeight="1" x14ac:dyDescent="0.15">
      <c r="B7" s="186" t="str">
        <f>VLOOKUP(F5,請求書履歴!$A$2:$E$40,4,FALSE)&amp; " " &amp; VLOOKUP(F5,請求書履歴!$A$2:$E$40,5,FALSE)</f>
        <v>宮地 様</v>
      </c>
      <c r="C7" s="186"/>
      <c r="D7" s="186"/>
      <c r="F7" s="187"/>
      <c r="G7" s="187"/>
      <c r="H7" s="187"/>
      <c r="I7" s="187"/>
    </row>
    <row r="8" spans="2:9" ht="13.5" customHeight="1" x14ac:dyDescent="0.15">
      <c r="B8" s="186"/>
      <c r="C8" s="186"/>
      <c r="D8" s="186"/>
      <c r="E8" s="188"/>
      <c r="F8" s="177"/>
      <c r="G8" s="177"/>
      <c r="H8" s="177"/>
      <c r="I8" s="177"/>
    </row>
    <row r="9" spans="2:9" ht="13.5" customHeight="1" x14ac:dyDescent="0.15">
      <c r="B9" s="69"/>
      <c r="C9" s="69"/>
      <c r="D9" s="69"/>
      <c r="E9" s="188"/>
      <c r="F9" s="72"/>
      <c r="G9" s="72"/>
      <c r="H9" s="72"/>
      <c r="I9" s="72"/>
    </row>
    <row r="10" spans="2:9" ht="13.5" customHeight="1" x14ac:dyDescent="0.15">
      <c r="B10" s="189"/>
      <c r="C10" s="189"/>
      <c r="D10" s="189"/>
      <c r="E10" s="188"/>
      <c r="F10" s="70"/>
      <c r="G10" s="70"/>
      <c r="H10" s="70"/>
      <c r="I10" s="70"/>
    </row>
    <row r="11" spans="2:9" ht="13.5" customHeight="1" x14ac:dyDescent="0.15">
      <c r="B11" s="28" t="s">
        <v>23</v>
      </c>
      <c r="C11" s="17"/>
      <c r="D11" s="73"/>
      <c r="E11" s="4"/>
      <c r="F11" s="29"/>
      <c r="G11" s="70"/>
      <c r="H11" s="70"/>
      <c r="I11" s="30"/>
    </row>
    <row r="12" spans="2:9" ht="13.5" customHeight="1" x14ac:dyDescent="0.15">
      <c r="B12" s="52"/>
      <c r="C12" s="52"/>
      <c r="D12" s="52"/>
      <c r="E12" s="4"/>
      <c r="F12" s="31"/>
      <c r="G12" s="31"/>
      <c r="H12" s="31"/>
      <c r="I12" s="31"/>
    </row>
    <row r="13" spans="2:9" ht="21" customHeight="1" x14ac:dyDescent="0.4">
      <c r="B13" s="43" t="s">
        <v>12</v>
      </c>
      <c r="C13" s="190" t="s">
        <v>21</v>
      </c>
      <c r="D13" s="190"/>
      <c r="E13" s="4"/>
      <c r="F13" s="191">
        <f>各種設定!C6</f>
        <v>6390223</v>
      </c>
      <c r="G13" s="191"/>
      <c r="H13" s="191"/>
      <c r="I13" s="191"/>
    </row>
    <row r="14" spans="2:9" ht="21" customHeight="1" x14ac:dyDescent="0.4">
      <c r="B14" s="43" t="s">
        <v>25</v>
      </c>
      <c r="C14" s="176">
        <f>EDATE(F6,1)</f>
        <v>43643</v>
      </c>
      <c r="D14" s="176"/>
      <c r="E14" s="4"/>
      <c r="F14" s="177" t="str">
        <f>各種設定!C7</f>
        <v>奈良県香芝市真美ヶ丘7-1-2</v>
      </c>
      <c r="G14" s="177"/>
      <c r="H14" s="177"/>
      <c r="I14" s="177"/>
    </row>
    <row r="15" spans="2:9" ht="19.5" customHeight="1" x14ac:dyDescent="0.4">
      <c r="B15" s="178" t="s">
        <v>13</v>
      </c>
      <c r="C15" s="181" t="str">
        <f>各種設定!C15&amp;" 　"&amp;各種設定!C16</f>
        <v>りそな 銀行 　香芝 支店</v>
      </c>
      <c r="D15" s="181"/>
      <c r="E15" s="71"/>
      <c r="F15" s="182" t="str">
        <f>各種設定!C10</f>
        <v>松田　ひとみ</v>
      </c>
      <c r="G15" s="182"/>
      <c r="H15" s="182"/>
      <c r="I15" s="182"/>
    </row>
    <row r="16" spans="2:9" ht="16.5" x14ac:dyDescent="0.4">
      <c r="B16" s="179"/>
      <c r="C16" s="183" t="str">
        <f>各種設定!C17</f>
        <v>普通　6275173</v>
      </c>
      <c r="D16" s="183"/>
      <c r="F16" s="182"/>
      <c r="G16" s="182"/>
      <c r="H16" s="182"/>
      <c r="I16" s="182"/>
    </row>
    <row r="17" spans="1:9" ht="16.5" customHeight="1" x14ac:dyDescent="0.4">
      <c r="B17" s="180"/>
      <c r="C17" s="184" t="str">
        <f>各種設定!C18</f>
        <v>マツダ　ヒトミ</v>
      </c>
      <c r="D17" s="184"/>
      <c r="E17" s="71"/>
      <c r="F17" s="185" t="str">
        <f>各種設定!C11</f>
        <v>090-8657-6721</v>
      </c>
      <c r="G17" s="185"/>
      <c r="H17" s="185"/>
      <c r="I17" s="185"/>
    </row>
    <row r="18" spans="1:9" ht="14.25" x14ac:dyDescent="0.15">
      <c r="B18" s="169" t="s">
        <v>14</v>
      </c>
      <c r="C18" s="171">
        <f>I43</f>
        <v>1080</v>
      </c>
      <c r="D18" s="171"/>
      <c r="E18" s="71"/>
      <c r="F18" s="172" t="str">
        <f>各種設定!C12</f>
        <v>hitomi@1103slabo.com</v>
      </c>
      <c r="G18" s="172"/>
      <c r="H18" s="172"/>
      <c r="I18" s="172"/>
    </row>
    <row r="19" spans="1:9" ht="34.5" customHeight="1" x14ac:dyDescent="0.15">
      <c r="B19" s="170"/>
      <c r="C19" s="171"/>
      <c r="D19" s="171"/>
      <c r="E19" s="71"/>
      <c r="F19" s="71"/>
      <c r="G19" s="71"/>
      <c r="H19" s="71"/>
      <c r="I19" s="71"/>
    </row>
    <row r="20" spans="1:9" ht="12.75" customHeight="1" x14ac:dyDescent="0.15">
      <c r="B20" s="17"/>
      <c r="C20" s="17"/>
      <c r="D20" s="17"/>
      <c r="E20" s="71"/>
      <c r="F20" s="71"/>
      <c r="G20" s="71"/>
      <c r="H20" s="71"/>
      <c r="I20" s="71"/>
    </row>
    <row r="21" spans="1:9" ht="13.5" customHeight="1" x14ac:dyDescent="0.15">
      <c r="B21" s="25" t="s">
        <v>0</v>
      </c>
      <c r="C21" s="25"/>
      <c r="D21" s="25"/>
      <c r="E21" s="25"/>
      <c r="F21" s="25"/>
      <c r="G21" s="25"/>
      <c r="H21" s="25"/>
      <c r="I21" s="25"/>
    </row>
    <row r="22" spans="1:9" ht="13.5" customHeight="1" x14ac:dyDescent="0.15">
      <c r="B22" s="25" t="s">
        <v>15</v>
      </c>
      <c r="C22" s="25"/>
      <c r="D22" s="25"/>
      <c r="E22" s="25"/>
      <c r="F22" s="25"/>
      <c r="G22" s="25"/>
      <c r="H22" s="25"/>
      <c r="I22" s="25"/>
    </row>
    <row r="23" spans="1:9" ht="13.5" customHeight="1" x14ac:dyDescent="0.15">
      <c r="B23" s="25"/>
      <c r="C23" s="25"/>
      <c r="D23" s="25"/>
      <c r="E23" s="25"/>
      <c r="F23" s="25"/>
      <c r="G23" s="25"/>
      <c r="H23" s="25"/>
      <c r="I23" s="25"/>
    </row>
    <row r="24" spans="1:9" ht="13.5" customHeight="1" x14ac:dyDescent="0.15">
      <c r="B24" s="25"/>
      <c r="C24" s="25"/>
      <c r="D24" s="25"/>
      <c r="E24" s="25"/>
      <c r="F24" s="25"/>
      <c r="G24" s="25"/>
      <c r="H24" s="25"/>
      <c r="I24" s="25"/>
    </row>
    <row r="25" spans="1:9" ht="13.5" customHeight="1" x14ac:dyDescent="0.15">
      <c r="B25" s="19" t="s">
        <v>1</v>
      </c>
      <c r="C25" s="18"/>
      <c r="D25" s="18"/>
      <c r="E25" s="18"/>
      <c r="F25" s="18"/>
      <c r="G25" s="18"/>
      <c r="H25" s="18"/>
      <c r="I25" s="18"/>
    </row>
    <row r="26" spans="1:9" s="44" customFormat="1" ht="20.25" customHeight="1" x14ac:dyDescent="0.15">
      <c r="A26" s="44" t="s">
        <v>18</v>
      </c>
      <c r="B26" s="173" t="s">
        <v>26</v>
      </c>
      <c r="C26" s="173"/>
      <c r="D26" s="173"/>
      <c r="E26" s="173"/>
      <c r="F26" s="45" t="s">
        <v>2</v>
      </c>
      <c r="G26" s="45" t="s">
        <v>3</v>
      </c>
      <c r="H26" s="46" t="s">
        <v>11</v>
      </c>
      <c r="I26" s="46" t="s">
        <v>4</v>
      </c>
    </row>
    <row r="27" spans="1:9" ht="20.25" customHeight="1" x14ac:dyDescent="0.15">
      <c r="A27" s="1" t="s">
        <v>20</v>
      </c>
      <c r="B27" s="174" t="str">
        <f>IF(ISBLANK($A27),"",VLOOKUP($A27,商品マスタ!$A$2:$E$7,2,FALSE))</f>
        <v>PCトラブル・メール相談</v>
      </c>
      <c r="C27" s="175"/>
      <c r="D27" s="161">
        <f>IF(ISBLANK($A27),"",VLOOKUP($A27,商品マスタ!$A$2:$E$7,3,FALSE))</f>
        <v>0</v>
      </c>
      <c r="E27" s="162"/>
      <c r="F27" s="11">
        <f>IF(ISBLANK($A27),"",VLOOKUP($A27,商品マスタ!$A$2:$E$7,5,FALSE))</f>
        <v>1000</v>
      </c>
      <c r="G27" s="49">
        <v>1</v>
      </c>
      <c r="H27" s="47" t="str">
        <f>IF(ISBLANK($A27),"",VLOOKUP($A27,商品マスタ!$A$2:$E$7,4,FALSE))</f>
        <v>案件</v>
      </c>
      <c r="I27" s="13">
        <f>IF(G27="","",F27*G27)</f>
        <v>1000</v>
      </c>
    </row>
    <row r="28" spans="1:9" ht="20.25" customHeight="1" x14ac:dyDescent="0.15">
      <c r="B28" s="167" t="str">
        <f>IF(ISBLANK($A28),"",VLOOKUP($A28,#REF!,2,FALSE))</f>
        <v/>
      </c>
      <c r="C28" s="168"/>
      <c r="D28" s="161" t="str">
        <f>IF(ISBLANK($A28),"",VLOOKUP($A28,商品マスタ!$A$2:$E$7,3,FALSE))</f>
        <v/>
      </c>
      <c r="E28" s="162"/>
      <c r="F28" s="11" t="str">
        <f>IF(ISBLANK($A28),"",VLOOKUP($A28,商品マスタ!$A$2:$E$7,5,FALSE))</f>
        <v/>
      </c>
      <c r="G28" s="49"/>
      <c r="H28" s="47" t="str">
        <f>IF(ISBLANK($A28),"",VLOOKUP($A28,商品マスタ!$A$2:$E$7,4,FALSE))</f>
        <v/>
      </c>
      <c r="I28" s="13" t="str">
        <f t="shared" ref="I28:I29" si="0">IF(G28="","",F28*G28)</f>
        <v/>
      </c>
    </row>
    <row r="29" spans="1:9" ht="20.25" customHeight="1" x14ac:dyDescent="0.15">
      <c r="B29" s="167" t="str">
        <f>IF(ISBLANK($A29),"",VLOOKUP($A29,#REF!,2,FALSE))</f>
        <v/>
      </c>
      <c r="C29" s="168"/>
      <c r="D29" s="161" t="str">
        <f>IF(ISBLANK($A29),"",VLOOKUP($A29,商品マスタ!$A$2:$E$7,3,FALSE))</f>
        <v/>
      </c>
      <c r="E29" s="162"/>
      <c r="F29" s="11" t="str">
        <f>IF(ISBLANK($A29),"",VLOOKUP($A29,商品マスタ!$A$2:$E$7,5,FALSE))</f>
        <v/>
      </c>
      <c r="G29" s="49"/>
      <c r="H29" s="47" t="str">
        <f>IF(ISBLANK($A29),"",VLOOKUP($A29,商品マスタ!$A$2:$E$7,4,FALSE))</f>
        <v/>
      </c>
      <c r="I29" s="13" t="str">
        <f t="shared" si="0"/>
        <v/>
      </c>
    </row>
    <row r="30" spans="1:9" ht="20.25" customHeight="1" x14ac:dyDescent="0.15">
      <c r="B30" s="159" t="str">
        <f>IF(ISBLANK($A30),"",VLOOKUP($A30,#REF!,2,FALSE))</f>
        <v/>
      </c>
      <c r="C30" s="160"/>
      <c r="D30" s="161" t="str">
        <f>IF(ISBLANK($A30),"",VLOOKUP($A30,商品マスタ!$A$2:$E$7,3,FALSE))</f>
        <v/>
      </c>
      <c r="E30" s="162"/>
      <c r="F30" s="11" t="str">
        <f>IF(ISBLANK($A30),"",VLOOKUP($A30,商品マスタ!$A$2:$E$7,5,FALSE))</f>
        <v/>
      </c>
      <c r="G30" s="12"/>
      <c r="H30" s="47" t="str">
        <f>IF(ISBLANK($A30),"",VLOOKUP($A30,商品マスタ!$A$2:$E$7,4,FALSE))</f>
        <v/>
      </c>
      <c r="I30" s="13"/>
    </row>
    <row r="31" spans="1:9" ht="20.25" customHeight="1" x14ac:dyDescent="0.15">
      <c r="B31" s="159" t="str">
        <f>IF(ISBLANK($A31),"",VLOOKUP($A31,#REF!,2,FALSE))</f>
        <v/>
      </c>
      <c r="C31" s="160"/>
      <c r="D31" s="161" t="str">
        <f>IF(ISBLANK($A31),"",VLOOKUP($A31,商品マスタ!$A$2:$E$7,3,FALSE))</f>
        <v/>
      </c>
      <c r="E31" s="162"/>
      <c r="F31" s="11" t="str">
        <f>IF(ISBLANK($A31),"",VLOOKUP($A31,商品マスタ!$A$2:$E$7,5,FALSE))</f>
        <v/>
      </c>
      <c r="G31" s="12"/>
      <c r="H31" s="47" t="str">
        <f>IF(ISBLANK($A31),"",VLOOKUP($A31,商品マスタ!$A$2:$E$7,4,FALSE))</f>
        <v/>
      </c>
      <c r="I31" s="13"/>
    </row>
    <row r="32" spans="1:9" ht="20.25" customHeight="1" x14ac:dyDescent="0.15">
      <c r="B32" s="159" t="str">
        <f>IF(ISBLANK($A32),"",VLOOKUP($A32,#REF!,2,FALSE))</f>
        <v/>
      </c>
      <c r="C32" s="160"/>
      <c r="D32" s="161" t="str">
        <f>IF(ISBLANK($A32),"",VLOOKUP($A32,商品マスタ!$A$2:$E$7,3,FALSE))</f>
        <v/>
      </c>
      <c r="E32" s="162"/>
      <c r="F32" s="11" t="str">
        <f>IF(ISBLANK($A32),"",VLOOKUP($A32,商品マスタ!$A$2:$E$7,5,FALSE))</f>
        <v/>
      </c>
      <c r="G32" s="12"/>
      <c r="H32" s="47" t="str">
        <f>IF(ISBLANK($A32),"",VLOOKUP($A32,商品マスタ!$A$2:$E$7,4,FALSE))</f>
        <v/>
      </c>
      <c r="I32" s="13"/>
    </row>
    <row r="33" spans="2:9" ht="20.25" customHeight="1" x14ac:dyDescent="0.15">
      <c r="B33" s="159" t="str">
        <f>IF(ISBLANK($A33),"",VLOOKUP($A33,#REF!,2,FALSE))</f>
        <v/>
      </c>
      <c r="C33" s="160"/>
      <c r="D33" s="161" t="str">
        <f>IF(ISBLANK($A33),"",VLOOKUP($A33,商品マスタ!$A$2:$E$7,3,FALSE))</f>
        <v/>
      </c>
      <c r="E33" s="162"/>
      <c r="F33" s="11" t="str">
        <f>IF(ISBLANK($A33),"",VLOOKUP($A33,商品マスタ!$A$2:$E$7,5,FALSE))</f>
        <v/>
      </c>
      <c r="G33" s="12"/>
      <c r="H33" s="47" t="str">
        <f>IF(ISBLANK($A33),"",VLOOKUP($A33,商品マスタ!$A$2:$E$7,4,FALSE))</f>
        <v/>
      </c>
      <c r="I33" s="13"/>
    </row>
    <row r="34" spans="2:9" ht="20.25" customHeight="1" x14ac:dyDescent="0.15">
      <c r="B34" s="159" t="str">
        <f>IF(ISBLANK($A34),"",VLOOKUP($A34,#REF!,2,FALSE))</f>
        <v/>
      </c>
      <c r="C34" s="160"/>
      <c r="D34" s="161" t="str">
        <f>IF(ISBLANK($A34),"",VLOOKUP($A34,商品マスタ!$A$2:$E$7,3,FALSE))</f>
        <v/>
      </c>
      <c r="E34" s="162"/>
      <c r="F34" s="11" t="str">
        <f>IF(ISBLANK($A34),"",VLOOKUP($A34,商品マスタ!$A$2:$E$7,5,FALSE))</f>
        <v/>
      </c>
      <c r="G34" s="12"/>
      <c r="H34" s="47" t="str">
        <f>IF(ISBLANK($A34),"",VLOOKUP($A34,商品マスタ!$A$2:$E$7,4,FALSE))</f>
        <v/>
      </c>
      <c r="I34" s="13"/>
    </row>
    <row r="35" spans="2:9" ht="20.25" customHeight="1" x14ac:dyDescent="0.15">
      <c r="B35" s="163" t="str">
        <f>IF(ISBLANK($A35),"",VLOOKUP($A35,#REF!,2,FALSE))</f>
        <v/>
      </c>
      <c r="C35" s="164"/>
      <c r="D35" s="165" t="str">
        <f>IF(ISBLANK($A35),"",VLOOKUP($A35,商品マスタ!$A$2:$E$7,3,FALSE))</f>
        <v/>
      </c>
      <c r="E35" s="166"/>
      <c r="F35" s="11" t="str">
        <f>IF(ISBLANK($A35),"",VLOOKUP($A35,商品マスタ!$A$2:$E$7,5,FALSE))</f>
        <v/>
      </c>
      <c r="G35" s="12"/>
      <c r="H35" s="47" t="str">
        <f>IF(ISBLANK($A35),"",VLOOKUP($A35,商品マスタ!$A$2:$E$7,4,FALSE))</f>
        <v/>
      </c>
      <c r="I35" s="13"/>
    </row>
    <row r="36" spans="2:9" ht="20.25" customHeight="1" x14ac:dyDescent="0.15">
      <c r="B36" s="163" t="str">
        <f>IF(ISBLANK($A36),"",VLOOKUP($A36,#REF!,2,FALSE))</f>
        <v/>
      </c>
      <c r="C36" s="164"/>
      <c r="D36" s="165" t="str">
        <f>IF(ISBLANK($A36),"",VLOOKUP($A36,商品マスタ!$A$2:$E$7,3,FALSE))</f>
        <v/>
      </c>
      <c r="E36" s="166"/>
      <c r="F36" s="11" t="str">
        <f>IF(ISBLANK($A36),"",VLOOKUP($A36,商品マスタ!$A$2:$E$7,5,FALSE))</f>
        <v/>
      </c>
      <c r="G36" s="12"/>
      <c r="H36" s="47" t="str">
        <f>IF(ISBLANK($A36),"",VLOOKUP($A36,商品マスタ!$A$2:$E$7,4,FALSE))</f>
        <v/>
      </c>
      <c r="I36" s="13"/>
    </row>
    <row r="37" spans="2:9" ht="20.25" customHeight="1" x14ac:dyDescent="0.15">
      <c r="B37" s="159" t="str">
        <f>IF(ISBLANK($A37),"",VLOOKUP($A37,#REF!,2,FALSE))</f>
        <v/>
      </c>
      <c r="C37" s="160"/>
      <c r="D37" s="161" t="str">
        <f>IF(ISBLANK($A37),"",VLOOKUP($A37,商品マスタ!$A$2:$E$7,3,FALSE))</f>
        <v/>
      </c>
      <c r="E37" s="162"/>
      <c r="F37" s="11" t="str">
        <f>IF(ISBLANK($A37),"",VLOOKUP($A37,商品マスタ!$A$2:$E$7,5,FALSE))</f>
        <v/>
      </c>
      <c r="G37" s="12"/>
      <c r="H37" s="47" t="str">
        <f>IF(ISBLANK($A37),"",VLOOKUP($A37,商品マスタ!$A$2:$E$7,4,FALSE))</f>
        <v/>
      </c>
      <c r="I37" s="13"/>
    </row>
    <row r="38" spans="2:9" ht="20.25" customHeight="1" x14ac:dyDescent="0.15">
      <c r="B38" s="159" t="str">
        <f>IF(ISBLANK($A38),"",VLOOKUP($A38,#REF!,2,FALSE))</f>
        <v/>
      </c>
      <c r="C38" s="160"/>
      <c r="D38" s="161" t="str">
        <f>IF(ISBLANK($A38),"",VLOOKUP($A38,商品マスタ!$A$2:$E$7,3,FALSE))</f>
        <v/>
      </c>
      <c r="E38" s="162"/>
      <c r="F38" s="11" t="str">
        <f>IF(ISBLANK($A38),"",VLOOKUP($A38,商品マスタ!$A$2:$E$7,5,FALSE))</f>
        <v/>
      </c>
      <c r="G38" s="14"/>
      <c r="H38" s="47" t="str">
        <f>IF(ISBLANK($A38),"",VLOOKUP($A38,商品マスタ!$A$2:$E$7,4,FALSE))</f>
        <v/>
      </c>
      <c r="I38" s="13" t="str">
        <f>IF(G38="","",F38*G38)</f>
        <v/>
      </c>
    </row>
    <row r="39" spans="2:9" ht="20.25" customHeight="1" x14ac:dyDescent="0.15">
      <c r="B39" s="159" t="str">
        <f>IF(ISBLANK($A39),"",VLOOKUP($A39,#REF!,2,FALSE))</f>
        <v/>
      </c>
      <c r="C39" s="160"/>
      <c r="D39" s="161" t="str">
        <f>IF(ISBLANK($A39),"",VLOOKUP($A39,商品マスタ!$A$2:$E$7,3,FALSE))</f>
        <v/>
      </c>
      <c r="E39" s="162"/>
      <c r="F39" s="11" t="str">
        <f>IF(ISBLANK($A39),"",VLOOKUP($A39,商品マスタ!$A$2:$E$7,5,FALSE))</f>
        <v/>
      </c>
      <c r="G39" s="14"/>
      <c r="H39" s="47" t="str">
        <f>IF(ISBLANK($A39),"",VLOOKUP($A39,商品マスタ!$A$2:$E$7,4,FALSE))</f>
        <v/>
      </c>
      <c r="I39" s="13" t="str">
        <f>IF(G39="","",F39*G39)</f>
        <v/>
      </c>
    </row>
    <row r="40" spans="2:9" ht="20.25" customHeight="1" x14ac:dyDescent="0.15">
      <c r="B40" s="151" t="str">
        <f>IF(ISBLANK($A40),"",VLOOKUP($A40,#REF!,2,FALSE))</f>
        <v/>
      </c>
      <c r="C40" s="152"/>
      <c r="D40" s="153" t="str">
        <f>IF(ISBLANK($A40),"",VLOOKUP($A40,商品マスタ!$A$2:$E$7,3,FALSE))</f>
        <v/>
      </c>
      <c r="E40" s="154"/>
      <c r="F40" s="11" t="str">
        <f>IF(ISBLANK($A40),"",VLOOKUP($A40,商品マスタ!$A$2:$E$7,5,FALSE))</f>
        <v/>
      </c>
      <c r="G40" s="16"/>
      <c r="H40" s="47" t="str">
        <f>IF(ISBLANK($A40),"",VLOOKUP($A40,商品マスタ!$A$2:$E$7,4,FALSE))</f>
        <v/>
      </c>
      <c r="I40" s="58" t="str">
        <f>IF(G40="","",F40*G40)</f>
        <v/>
      </c>
    </row>
    <row r="41" spans="2:9" ht="18.75" customHeight="1" x14ac:dyDescent="0.15">
      <c r="F41" s="155" t="s">
        <v>5</v>
      </c>
      <c r="G41" s="155"/>
      <c r="H41" s="155"/>
      <c r="I41" s="50">
        <f>SUM(I27:I40)</f>
        <v>1000</v>
      </c>
    </row>
    <row r="42" spans="2:9" ht="18.75" customHeight="1" x14ac:dyDescent="0.15">
      <c r="F42" s="156" t="s">
        <v>6</v>
      </c>
      <c r="G42" s="156"/>
      <c r="H42" s="156"/>
      <c r="I42" s="50">
        <f>I41*0.08</f>
        <v>80</v>
      </c>
    </row>
    <row r="43" spans="2:9" ht="18.75" customHeight="1" thickBot="1" x14ac:dyDescent="0.2">
      <c r="F43" s="157" t="s">
        <v>7</v>
      </c>
      <c r="G43" s="157"/>
      <c r="H43" s="157"/>
      <c r="I43" s="51">
        <f>SUM(I41:I42)</f>
        <v>1080</v>
      </c>
    </row>
    <row r="44" spans="2:9" ht="13.5" customHeight="1" thickTop="1" x14ac:dyDescent="0.15"/>
    <row r="45" spans="2:9" ht="13.5" customHeight="1" x14ac:dyDescent="0.15">
      <c r="B45" s="19" t="s">
        <v>8</v>
      </c>
      <c r="C45" s="6"/>
      <c r="D45" s="6"/>
      <c r="E45" s="6"/>
      <c r="F45" s="6"/>
      <c r="G45" s="6"/>
      <c r="H45" s="6"/>
      <c r="I45" s="6"/>
    </row>
    <row r="46" spans="2:9" ht="4.5" customHeight="1" x14ac:dyDescent="0.15">
      <c r="B46" s="20"/>
      <c r="C46" s="7"/>
      <c r="D46" s="7"/>
      <c r="E46" s="7"/>
      <c r="F46" s="7"/>
    </row>
    <row r="47" spans="2:9" ht="13.5" customHeight="1" x14ac:dyDescent="0.15">
      <c r="B47" s="17"/>
    </row>
    <row r="48" spans="2:9" ht="13.5" customHeight="1" x14ac:dyDescent="0.15">
      <c r="B48" s="17"/>
    </row>
    <row r="49" spans="2:9" ht="13.5" customHeight="1" x14ac:dyDescent="0.15">
      <c r="B49" s="17"/>
    </row>
    <row r="50" spans="2:9" ht="13.5" customHeight="1" x14ac:dyDescent="0.15">
      <c r="B50" s="17"/>
    </row>
    <row r="51" spans="2:9" ht="13.5" customHeight="1" x14ac:dyDescent="0.15">
      <c r="B51" s="17"/>
    </row>
    <row r="52" spans="2:9" ht="13.5" customHeight="1" x14ac:dyDescent="0.15">
      <c r="B52" s="17"/>
    </row>
    <row r="53" spans="2:9" ht="13.5" customHeight="1" x14ac:dyDescent="0.15">
      <c r="B53" s="158"/>
      <c r="C53" s="158"/>
      <c r="D53" s="158"/>
      <c r="E53" s="158"/>
      <c r="F53" s="158"/>
      <c r="G53" s="158"/>
      <c r="H53" s="158"/>
      <c r="I53" s="158"/>
    </row>
  </sheetData>
  <mergeCells count="57">
    <mergeCell ref="B53:I53"/>
    <mergeCell ref="B37:C37"/>
    <mergeCell ref="D37:E37"/>
    <mergeCell ref="B38:C38"/>
    <mergeCell ref="D38:E38"/>
    <mergeCell ref="B39:C39"/>
    <mergeCell ref="D39:E39"/>
    <mergeCell ref="B40:C40"/>
    <mergeCell ref="D40:E40"/>
    <mergeCell ref="F41:H41"/>
    <mergeCell ref="F42:H42"/>
    <mergeCell ref="F43:H43"/>
    <mergeCell ref="B34:C34"/>
    <mergeCell ref="D34:E34"/>
    <mergeCell ref="B35:C35"/>
    <mergeCell ref="D35:E35"/>
    <mergeCell ref="B36:C36"/>
    <mergeCell ref="D36:E36"/>
    <mergeCell ref="B31:C31"/>
    <mergeCell ref="D31:E31"/>
    <mergeCell ref="B32:C32"/>
    <mergeCell ref="D32:E32"/>
    <mergeCell ref="B33:C33"/>
    <mergeCell ref="D33:E33"/>
    <mergeCell ref="B28:C28"/>
    <mergeCell ref="D28:E28"/>
    <mergeCell ref="B29:C29"/>
    <mergeCell ref="D29:E29"/>
    <mergeCell ref="B30:C30"/>
    <mergeCell ref="D30:E30"/>
    <mergeCell ref="B18:B19"/>
    <mergeCell ref="C18:D19"/>
    <mergeCell ref="F18:I18"/>
    <mergeCell ref="B26:E26"/>
    <mergeCell ref="B27:C27"/>
    <mergeCell ref="D27:E27"/>
    <mergeCell ref="C14:D14"/>
    <mergeCell ref="F14:I14"/>
    <mergeCell ref="B15:B17"/>
    <mergeCell ref="C15:D15"/>
    <mergeCell ref="F15:I16"/>
    <mergeCell ref="C16:D16"/>
    <mergeCell ref="C17:D17"/>
    <mergeCell ref="F17:I17"/>
    <mergeCell ref="C13:D13"/>
    <mergeCell ref="F13:I13"/>
    <mergeCell ref="B2:I2"/>
    <mergeCell ref="B3:I3"/>
    <mergeCell ref="F4:I4"/>
    <mergeCell ref="B5:D6"/>
    <mergeCell ref="F5:I5"/>
    <mergeCell ref="F6:I6"/>
    <mergeCell ref="B7:D8"/>
    <mergeCell ref="F7:I7"/>
    <mergeCell ref="E8:E10"/>
    <mergeCell ref="F8:I8"/>
    <mergeCell ref="B10:D10"/>
  </mergeCells>
  <phoneticPr fontId="4"/>
  <conditionalFormatting sqref="B27 D27 D29:D40 B29:B40 F27:I40">
    <cfRule type="expression" dxfId="10" priority="2">
      <formula>MOD(ROW(),2)=1</formula>
    </cfRule>
  </conditionalFormatting>
  <conditionalFormatting sqref="B28 D28">
    <cfRule type="expression" dxfId="9" priority="1">
      <formula>MOD(ROW(),2)=1</formula>
    </cfRule>
  </conditionalFormatting>
  <printOptions horizontalCentered="1"/>
  <pageMargins left="0.94488188976377963" right="0.47244094488188981" top="0.59055118110236227" bottom="0.59055118110236227" header="0.31496062992125984" footer="0.19685039370078741"/>
  <pageSetup paperSize="9" scale="92" orientation="portrait" horizontalDpi="4294967293"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9">
    <pageSetUpPr fitToPage="1"/>
  </sheetPr>
  <dimension ref="A2:I53"/>
  <sheetViews>
    <sheetView showGridLines="0" view="pageBreakPreview" topLeftCell="A28" zoomScaleNormal="100" zoomScaleSheetLayoutView="100" workbookViewId="0">
      <selection activeCell="F33" sqref="F33"/>
    </sheetView>
  </sheetViews>
  <sheetFormatPr defaultColWidth="3.125" defaultRowHeight="13.5" customHeight="1" x14ac:dyDescent="0.15"/>
  <cols>
    <col min="1" max="1" width="7.625" style="1" customWidth="1"/>
    <col min="2" max="2" width="13.875" style="1" customWidth="1"/>
    <col min="3" max="3" width="23.25" style="1" customWidth="1"/>
    <col min="4" max="4" width="11.125" style="1" customWidth="1"/>
    <col min="5" max="5" width="11.625" style="1" customWidth="1"/>
    <col min="6" max="6" width="11.125" style="1" customWidth="1"/>
    <col min="7" max="7" width="6.625" style="1" customWidth="1"/>
    <col min="8" max="8" width="6.125" style="1" customWidth="1"/>
    <col min="9" max="9" width="12.25" style="1" customWidth="1"/>
    <col min="10" max="16384" width="3.125" style="1"/>
  </cols>
  <sheetData>
    <row r="2" spans="2:9" ht="13.5" customHeight="1" x14ac:dyDescent="0.15">
      <c r="B2" s="158"/>
      <c r="C2" s="158"/>
      <c r="D2" s="158"/>
      <c r="E2" s="158"/>
      <c r="F2" s="158"/>
      <c r="G2" s="158"/>
      <c r="H2" s="158"/>
      <c r="I2" s="158"/>
    </row>
    <row r="3" spans="2:9" s="2" customFormat="1" ht="36.75" customHeight="1" x14ac:dyDescent="0.55000000000000004">
      <c r="B3" s="192" t="s">
        <v>22</v>
      </c>
      <c r="C3" s="192"/>
      <c r="D3" s="192"/>
      <c r="E3" s="192"/>
      <c r="F3" s="192"/>
      <c r="G3" s="192"/>
      <c r="H3" s="192"/>
      <c r="I3" s="192"/>
    </row>
    <row r="4" spans="2:9" ht="15" customHeight="1" x14ac:dyDescent="0.15">
      <c r="F4" s="193"/>
      <c r="G4" s="193"/>
      <c r="H4" s="193"/>
      <c r="I4" s="193"/>
    </row>
    <row r="5" spans="2:9" ht="13.5" customHeight="1" x14ac:dyDescent="0.15">
      <c r="B5" s="194" t="str">
        <f>VLOOKUP(F5,請求書履歴!$A$2:$E$40,3,FALSE)</f>
        <v>女性共同法律事務所</v>
      </c>
      <c r="C5" s="194"/>
      <c r="D5" s="194"/>
      <c r="E5" s="66"/>
      <c r="F5" s="195">
        <v>20180004</v>
      </c>
      <c r="G5" s="195"/>
      <c r="H5" s="195"/>
      <c r="I5" s="195"/>
    </row>
    <row r="6" spans="2:9" ht="13.5" customHeight="1" x14ac:dyDescent="0.15">
      <c r="B6" s="194"/>
      <c r="C6" s="194"/>
      <c r="D6" s="194"/>
      <c r="F6" s="196">
        <v>43355</v>
      </c>
      <c r="G6" s="196"/>
      <c r="H6" s="196"/>
      <c r="I6" s="196"/>
    </row>
    <row r="7" spans="2:9" ht="13.5" customHeight="1" x14ac:dyDescent="0.15">
      <c r="B7" s="186" t="str">
        <f>VLOOKUP(F5,請求書履歴!$A$2:$E$40,4,FALSE)&amp; " " &amp; VLOOKUP(F5,請求書履歴!$A$2:$E$40,5,FALSE)</f>
        <v>宮地 様</v>
      </c>
      <c r="C7" s="186"/>
      <c r="D7" s="186"/>
      <c r="F7" s="187"/>
      <c r="G7" s="187"/>
      <c r="H7" s="187"/>
      <c r="I7" s="187"/>
    </row>
    <row r="8" spans="2:9" ht="13.5" customHeight="1" x14ac:dyDescent="0.15">
      <c r="B8" s="186"/>
      <c r="C8" s="186"/>
      <c r="D8" s="186"/>
      <c r="E8" s="188"/>
      <c r="F8" s="177"/>
      <c r="G8" s="177"/>
      <c r="H8" s="177"/>
      <c r="I8" s="177"/>
    </row>
    <row r="9" spans="2:9" ht="13.5" customHeight="1" x14ac:dyDescent="0.15">
      <c r="B9" s="64"/>
      <c r="C9" s="64"/>
      <c r="D9" s="64"/>
      <c r="E9" s="188"/>
      <c r="F9" s="67"/>
      <c r="G9" s="67"/>
      <c r="H9" s="67"/>
      <c r="I9" s="67"/>
    </row>
    <row r="10" spans="2:9" ht="13.5" customHeight="1" x14ac:dyDescent="0.15">
      <c r="B10" s="189"/>
      <c r="C10" s="189"/>
      <c r="D10" s="189"/>
      <c r="E10" s="188"/>
      <c r="F10" s="65"/>
      <c r="G10" s="65"/>
      <c r="H10" s="65"/>
      <c r="I10" s="65"/>
    </row>
    <row r="11" spans="2:9" ht="13.5" customHeight="1" x14ac:dyDescent="0.15">
      <c r="B11" s="28" t="s">
        <v>23</v>
      </c>
      <c r="C11" s="17"/>
      <c r="D11" s="68"/>
      <c r="E11" s="4"/>
      <c r="F11" s="29"/>
      <c r="G11" s="65"/>
      <c r="H11" s="65"/>
      <c r="I11" s="30"/>
    </row>
    <row r="12" spans="2:9" ht="13.5" customHeight="1" x14ac:dyDescent="0.15">
      <c r="B12" s="52"/>
      <c r="C12" s="52"/>
      <c r="D12" s="52"/>
      <c r="E12" s="4"/>
      <c r="F12" s="31"/>
      <c r="G12" s="31"/>
      <c r="H12" s="31"/>
      <c r="I12" s="31"/>
    </row>
    <row r="13" spans="2:9" ht="21" customHeight="1" x14ac:dyDescent="0.4">
      <c r="B13" s="43" t="s">
        <v>12</v>
      </c>
      <c r="C13" s="190" t="s">
        <v>21</v>
      </c>
      <c r="D13" s="190"/>
      <c r="E13" s="4"/>
      <c r="F13" s="191">
        <f>各種設定!C6</f>
        <v>6390223</v>
      </c>
      <c r="G13" s="191"/>
      <c r="H13" s="191"/>
      <c r="I13" s="191"/>
    </row>
    <row r="14" spans="2:9" ht="21" customHeight="1" x14ac:dyDescent="0.4">
      <c r="B14" s="43" t="s">
        <v>25</v>
      </c>
      <c r="C14" s="176">
        <f>EDATE(F6,1)</f>
        <v>43385</v>
      </c>
      <c r="D14" s="176"/>
      <c r="E14" s="4"/>
      <c r="F14" s="177" t="str">
        <f>各種設定!C7</f>
        <v>奈良県香芝市真美ヶ丘7-1-2</v>
      </c>
      <c r="G14" s="177"/>
      <c r="H14" s="177"/>
      <c r="I14" s="177"/>
    </row>
    <row r="15" spans="2:9" ht="19.5" customHeight="1" x14ac:dyDescent="0.4">
      <c r="B15" s="178" t="s">
        <v>13</v>
      </c>
      <c r="C15" s="181" t="str">
        <f>各種設定!C15&amp;" 　"&amp;各種設定!C16</f>
        <v>りそな 銀行 　香芝 支店</v>
      </c>
      <c r="D15" s="181"/>
      <c r="E15" s="66"/>
      <c r="F15" s="182" t="str">
        <f>各種設定!C10</f>
        <v>松田　ひとみ</v>
      </c>
      <c r="G15" s="182"/>
      <c r="H15" s="182"/>
      <c r="I15" s="182"/>
    </row>
    <row r="16" spans="2:9" ht="16.5" x14ac:dyDescent="0.4">
      <c r="B16" s="179"/>
      <c r="C16" s="183" t="str">
        <f>各種設定!C17</f>
        <v>普通　6275173</v>
      </c>
      <c r="D16" s="183"/>
      <c r="F16" s="182"/>
      <c r="G16" s="182"/>
      <c r="H16" s="182"/>
      <c r="I16" s="182"/>
    </row>
    <row r="17" spans="1:9" ht="16.5" customHeight="1" x14ac:dyDescent="0.4">
      <c r="B17" s="180"/>
      <c r="C17" s="184" t="str">
        <f>各種設定!C18</f>
        <v>マツダ　ヒトミ</v>
      </c>
      <c r="D17" s="184"/>
      <c r="E17" s="66"/>
      <c r="F17" s="185" t="str">
        <f>各種設定!C11</f>
        <v>090-8657-6721</v>
      </c>
      <c r="G17" s="185"/>
      <c r="H17" s="185"/>
      <c r="I17" s="185"/>
    </row>
    <row r="18" spans="1:9" ht="14.25" x14ac:dyDescent="0.15">
      <c r="B18" s="169" t="s">
        <v>14</v>
      </c>
      <c r="C18" s="171">
        <f>I43</f>
        <v>1080</v>
      </c>
      <c r="D18" s="171"/>
      <c r="E18" s="66"/>
      <c r="F18" s="172" t="str">
        <f>各種設定!C12</f>
        <v>hitomi@1103slabo.com</v>
      </c>
      <c r="G18" s="172"/>
      <c r="H18" s="172"/>
      <c r="I18" s="172"/>
    </row>
    <row r="19" spans="1:9" ht="34.5" customHeight="1" x14ac:dyDescent="0.15">
      <c r="B19" s="170"/>
      <c r="C19" s="171"/>
      <c r="D19" s="171"/>
      <c r="E19" s="66"/>
      <c r="F19" s="66"/>
      <c r="G19" s="66"/>
      <c r="H19" s="66"/>
      <c r="I19" s="66"/>
    </row>
    <row r="20" spans="1:9" ht="12.75" customHeight="1" x14ac:dyDescent="0.15">
      <c r="B20" s="17"/>
      <c r="C20" s="17"/>
      <c r="D20" s="17"/>
      <c r="E20" s="66"/>
      <c r="F20" s="66"/>
      <c r="G20" s="66"/>
      <c r="H20" s="66"/>
      <c r="I20" s="66"/>
    </row>
    <row r="21" spans="1:9" ht="13.5" customHeight="1" x14ac:dyDescent="0.15">
      <c r="B21" s="25" t="s">
        <v>0</v>
      </c>
      <c r="C21" s="25"/>
      <c r="D21" s="25"/>
      <c r="E21" s="25"/>
      <c r="F21" s="25"/>
      <c r="G21" s="25"/>
      <c r="H21" s="25"/>
      <c r="I21" s="25"/>
    </row>
    <row r="22" spans="1:9" ht="13.5" customHeight="1" x14ac:dyDescent="0.15">
      <c r="B22" s="25" t="s">
        <v>15</v>
      </c>
      <c r="C22" s="25"/>
      <c r="D22" s="25"/>
      <c r="E22" s="25"/>
      <c r="F22" s="25"/>
      <c r="G22" s="25"/>
      <c r="H22" s="25"/>
      <c r="I22" s="25"/>
    </row>
    <row r="23" spans="1:9" ht="13.5" customHeight="1" x14ac:dyDescent="0.15">
      <c r="B23" s="25"/>
      <c r="C23" s="25"/>
      <c r="D23" s="25"/>
      <c r="E23" s="25"/>
      <c r="F23" s="25"/>
      <c r="G23" s="25"/>
      <c r="H23" s="25"/>
      <c r="I23" s="25"/>
    </row>
    <row r="24" spans="1:9" ht="13.5" customHeight="1" x14ac:dyDescent="0.15">
      <c r="B24" s="25"/>
      <c r="C24" s="25"/>
      <c r="D24" s="25"/>
      <c r="E24" s="25"/>
      <c r="F24" s="25"/>
      <c r="G24" s="25"/>
      <c r="H24" s="25"/>
      <c r="I24" s="25"/>
    </row>
    <row r="25" spans="1:9" ht="13.5" customHeight="1" x14ac:dyDescent="0.15">
      <c r="B25" s="19" t="s">
        <v>1</v>
      </c>
      <c r="C25" s="18"/>
      <c r="D25" s="18"/>
      <c r="E25" s="18"/>
      <c r="F25" s="18"/>
      <c r="G25" s="18"/>
      <c r="H25" s="18"/>
      <c r="I25" s="18"/>
    </row>
    <row r="26" spans="1:9" s="44" customFormat="1" ht="20.25" customHeight="1" x14ac:dyDescent="0.15">
      <c r="A26" s="44" t="s">
        <v>18</v>
      </c>
      <c r="B26" s="173" t="s">
        <v>26</v>
      </c>
      <c r="C26" s="173"/>
      <c r="D26" s="173"/>
      <c r="E26" s="173"/>
      <c r="F26" s="45" t="s">
        <v>2</v>
      </c>
      <c r="G26" s="45" t="s">
        <v>3</v>
      </c>
      <c r="H26" s="46" t="s">
        <v>11</v>
      </c>
      <c r="I26" s="46" t="s">
        <v>4</v>
      </c>
    </row>
    <row r="27" spans="1:9" ht="20.25" customHeight="1" x14ac:dyDescent="0.15">
      <c r="A27" s="1" t="s">
        <v>20</v>
      </c>
      <c r="B27" s="174" t="str">
        <f>IF(ISBLANK($A27),"",VLOOKUP($A27,商品マスタ!$A$2:$E$7,2,FALSE))</f>
        <v>PCトラブル・メール相談</v>
      </c>
      <c r="C27" s="175"/>
      <c r="D27" s="161">
        <f>IF(ISBLANK($A27),"",VLOOKUP($A27,商品マスタ!$A$2:$E$7,3,FALSE))</f>
        <v>0</v>
      </c>
      <c r="E27" s="162"/>
      <c r="F27" s="11">
        <f>IF(ISBLANK($A27),"",VLOOKUP($A27,商品マスタ!$A$2:$E$7,5,FALSE))</f>
        <v>1000</v>
      </c>
      <c r="G27" s="49">
        <v>1</v>
      </c>
      <c r="H27" s="47" t="str">
        <f>IF(ISBLANK($A27),"",VLOOKUP($A27,商品マスタ!$A$2:$E$7,4,FALSE))</f>
        <v>案件</v>
      </c>
      <c r="I27" s="13">
        <f>IF(G27="","",F27*G27)</f>
        <v>1000</v>
      </c>
    </row>
    <row r="28" spans="1:9" ht="20.25" customHeight="1" x14ac:dyDescent="0.15">
      <c r="B28" s="167" t="str">
        <f>IF(ISBLANK($A28),"",VLOOKUP($A28,#REF!,2,FALSE))</f>
        <v/>
      </c>
      <c r="C28" s="168"/>
      <c r="D28" s="161" t="str">
        <f>IF(ISBLANK($A28),"",VLOOKUP($A28,商品マスタ!$A$2:$E$7,3,FALSE))</f>
        <v/>
      </c>
      <c r="E28" s="162"/>
      <c r="F28" s="11" t="str">
        <f>IF(ISBLANK($A28),"",VLOOKUP($A28,商品マスタ!$A$2:$E$7,5,FALSE))</f>
        <v/>
      </c>
      <c r="G28" s="49"/>
      <c r="H28" s="47" t="str">
        <f>IF(ISBLANK($A28),"",VLOOKUP($A28,商品マスタ!$A$2:$E$7,4,FALSE))</f>
        <v/>
      </c>
      <c r="I28" s="13" t="str">
        <f t="shared" ref="I28:I29" si="0">IF(G28="","",F28*G28)</f>
        <v/>
      </c>
    </row>
    <row r="29" spans="1:9" ht="20.25" customHeight="1" x14ac:dyDescent="0.15">
      <c r="B29" s="167" t="str">
        <f>IF(ISBLANK($A29),"",VLOOKUP($A29,#REF!,2,FALSE))</f>
        <v/>
      </c>
      <c r="C29" s="168"/>
      <c r="D29" s="161" t="str">
        <f>IF(ISBLANK($A29),"",VLOOKUP($A29,商品マスタ!$A$2:$E$7,3,FALSE))</f>
        <v/>
      </c>
      <c r="E29" s="162"/>
      <c r="F29" s="11" t="str">
        <f>IF(ISBLANK($A29),"",VLOOKUP($A29,商品マスタ!$A$2:$E$7,5,FALSE))</f>
        <v/>
      </c>
      <c r="G29" s="49"/>
      <c r="H29" s="47" t="str">
        <f>IF(ISBLANK($A29),"",VLOOKUP($A29,商品マスタ!$A$2:$E$7,4,FALSE))</f>
        <v/>
      </c>
      <c r="I29" s="13" t="str">
        <f t="shared" si="0"/>
        <v/>
      </c>
    </row>
    <row r="30" spans="1:9" ht="20.25" customHeight="1" x14ac:dyDescent="0.15">
      <c r="B30" s="159" t="str">
        <f>IF(ISBLANK($A30),"",VLOOKUP($A30,#REF!,2,FALSE))</f>
        <v/>
      </c>
      <c r="C30" s="160"/>
      <c r="D30" s="161" t="str">
        <f>IF(ISBLANK($A30),"",VLOOKUP($A30,商品マスタ!$A$2:$E$7,3,FALSE))</f>
        <v/>
      </c>
      <c r="E30" s="162"/>
      <c r="F30" s="11" t="str">
        <f>IF(ISBLANK($A30),"",VLOOKUP($A30,商品マスタ!$A$2:$E$7,5,FALSE))</f>
        <v/>
      </c>
      <c r="G30" s="12"/>
      <c r="H30" s="47" t="str">
        <f>IF(ISBLANK($A30),"",VLOOKUP($A30,商品マスタ!$A$2:$E$7,4,FALSE))</f>
        <v/>
      </c>
      <c r="I30" s="13"/>
    </row>
    <row r="31" spans="1:9" ht="20.25" customHeight="1" x14ac:dyDescent="0.15">
      <c r="B31" s="159" t="str">
        <f>IF(ISBLANK($A31),"",VLOOKUP($A31,#REF!,2,FALSE))</f>
        <v/>
      </c>
      <c r="C31" s="160"/>
      <c r="D31" s="161" t="str">
        <f>IF(ISBLANK($A31),"",VLOOKUP($A31,商品マスタ!$A$2:$E$7,3,FALSE))</f>
        <v/>
      </c>
      <c r="E31" s="162"/>
      <c r="F31" s="11" t="str">
        <f>IF(ISBLANK($A31),"",VLOOKUP($A31,商品マスタ!$A$2:$E$7,5,FALSE))</f>
        <v/>
      </c>
      <c r="G31" s="12"/>
      <c r="H31" s="47" t="str">
        <f>IF(ISBLANK($A31),"",VLOOKUP($A31,商品マスタ!$A$2:$E$7,4,FALSE))</f>
        <v/>
      </c>
      <c r="I31" s="13"/>
    </row>
    <row r="32" spans="1:9" ht="20.25" customHeight="1" x14ac:dyDescent="0.15">
      <c r="B32" s="159" t="str">
        <f>IF(ISBLANK($A32),"",VLOOKUP($A32,#REF!,2,FALSE))</f>
        <v/>
      </c>
      <c r="C32" s="160"/>
      <c r="D32" s="161" t="str">
        <f>IF(ISBLANK($A32),"",VLOOKUP($A32,商品マスタ!$A$2:$E$7,3,FALSE))</f>
        <v/>
      </c>
      <c r="E32" s="162"/>
      <c r="F32" s="11" t="str">
        <f>IF(ISBLANK($A32),"",VLOOKUP($A32,商品マスタ!$A$2:$E$7,5,FALSE))</f>
        <v/>
      </c>
      <c r="G32" s="12"/>
      <c r="H32" s="47" t="str">
        <f>IF(ISBLANK($A32),"",VLOOKUP($A32,商品マスタ!$A$2:$E$7,4,FALSE))</f>
        <v/>
      </c>
      <c r="I32" s="13"/>
    </row>
    <row r="33" spans="2:9" ht="20.25" customHeight="1" x14ac:dyDescent="0.15">
      <c r="B33" s="159" t="str">
        <f>IF(ISBLANK($A33),"",VLOOKUP($A33,#REF!,2,FALSE))</f>
        <v/>
      </c>
      <c r="C33" s="160"/>
      <c r="D33" s="161" t="str">
        <f>IF(ISBLANK($A33),"",VLOOKUP($A33,商品マスタ!$A$2:$E$7,3,FALSE))</f>
        <v/>
      </c>
      <c r="E33" s="162"/>
      <c r="F33" s="11" t="str">
        <f>IF(ISBLANK($A33),"",VLOOKUP($A33,商品マスタ!$A$2:$E$7,5,FALSE))</f>
        <v/>
      </c>
      <c r="G33" s="12"/>
      <c r="H33" s="47" t="str">
        <f>IF(ISBLANK($A33),"",VLOOKUP($A33,商品マスタ!$A$2:$E$7,4,FALSE))</f>
        <v/>
      </c>
      <c r="I33" s="13"/>
    </row>
    <row r="34" spans="2:9" ht="20.25" customHeight="1" x14ac:dyDescent="0.15">
      <c r="B34" s="159" t="str">
        <f>IF(ISBLANK($A34),"",VLOOKUP($A34,#REF!,2,FALSE))</f>
        <v/>
      </c>
      <c r="C34" s="160"/>
      <c r="D34" s="161" t="str">
        <f>IF(ISBLANK($A34),"",VLOOKUP($A34,商品マスタ!$A$2:$E$7,3,FALSE))</f>
        <v/>
      </c>
      <c r="E34" s="162"/>
      <c r="F34" s="11" t="str">
        <f>IF(ISBLANK($A34),"",VLOOKUP($A34,商品マスタ!$A$2:$E$7,5,FALSE))</f>
        <v/>
      </c>
      <c r="G34" s="12"/>
      <c r="H34" s="47" t="str">
        <f>IF(ISBLANK($A34),"",VLOOKUP($A34,商品マスタ!$A$2:$E$7,4,FALSE))</f>
        <v/>
      </c>
      <c r="I34" s="13"/>
    </row>
    <row r="35" spans="2:9" ht="20.25" customHeight="1" x14ac:dyDescent="0.15">
      <c r="B35" s="163" t="str">
        <f>IF(ISBLANK($A35),"",VLOOKUP($A35,#REF!,2,FALSE))</f>
        <v/>
      </c>
      <c r="C35" s="164"/>
      <c r="D35" s="165" t="str">
        <f>IF(ISBLANK($A35),"",VLOOKUP($A35,商品マスタ!$A$2:$E$7,3,FALSE))</f>
        <v/>
      </c>
      <c r="E35" s="166"/>
      <c r="F35" s="11" t="str">
        <f>IF(ISBLANK($A35),"",VLOOKUP($A35,商品マスタ!$A$2:$E$7,5,FALSE))</f>
        <v/>
      </c>
      <c r="G35" s="12"/>
      <c r="H35" s="47" t="str">
        <f>IF(ISBLANK($A35),"",VLOOKUP($A35,商品マスタ!$A$2:$E$7,4,FALSE))</f>
        <v/>
      </c>
      <c r="I35" s="13"/>
    </row>
    <row r="36" spans="2:9" ht="20.25" customHeight="1" x14ac:dyDescent="0.15">
      <c r="B36" s="163" t="str">
        <f>IF(ISBLANK($A36),"",VLOOKUP($A36,#REF!,2,FALSE))</f>
        <v/>
      </c>
      <c r="C36" s="164"/>
      <c r="D36" s="165" t="str">
        <f>IF(ISBLANK($A36),"",VLOOKUP($A36,商品マスタ!$A$2:$E$7,3,FALSE))</f>
        <v/>
      </c>
      <c r="E36" s="166"/>
      <c r="F36" s="11" t="str">
        <f>IF(ISBLANK($A36),"",VLOOKUP($A36,商品マスタ!$A$2:$E$7,5,FALSE))</f>
        <v/>
      </c>
      <c r="G36" s="12"/>
      <c r="H36" s="47" t="str">
        <f>IF(ISBLANK($A36),"",VLOOKUP($A36,商品マスタ!$A$2:$E$7,4,FALSE))</f>
        <v/>
      </c>
      <c r="I36" s="13"/>
    </row>
    <row r="37" spans="2:9" ht="20.25" customHeight="1" x14ac:dyDescent="0.15">
      <c r="B37" s="159" t="str">
        <f>IF(ISBLANK($A37),"",VLOOKUP($A37,#REF!,2,FALSE))</f>
        <v/>
      </c>
      <c r="C37" s="160"/>
      <c r="D37" s="161" t="str">
        <f>IF(ISBLANK($A37),"",VLOOKUP($A37,商品マスタ!$A$2:$E$7,3,FALSE))</f>
        <v/>
      </c>
      <c r="E37" s="162"/>
      <c r="F37" s="11" t="str">
        <f>IF(ISBLANK($A37),"",VLOOKUP($A37,商品マスタ!$A$2:$E$7,5,FALSE))</f>
        <v/>
      </c>
      <c r="G37" s="12"/>
      <c r="H37" s="47" t="str">
        <f>IF(ISBLANK($A37),"",VLOOKUP($A37,商品マスタ!$A$2:$E$7,4,FALSE))</f>
        <v/>
      </c>
      <c r="I37" s="13"/>
    </row>
    <row r="38" spans="2:9" ht="20.25" customHeight="1" x14ac:dyDescent="0.15">
      <c r="B38" s="159" t="str">
        <f>IF(ISBLANK($A38),"",VLOOKUP($A38,#REF!,2,FALSE))</f>
        <v/>
      </c>
      <c r="C38" s="160"/>
      <c r="D38" s="161" t="str">
        <f>IF(ISBLANK($A38),"",VLOOKUP($A38,商品マスタ!$A$2:$E$7,3,FALSE))</f>
        <v/>
      </c>
      <c r="E38" s="162"/>
      <c r="F38" s="11" t="str">
        <f>IF(ISBLANK($A38),"",VLOOKUP($A38,商品マスタ!$A$2:$E$7,5,FALSE))</f>
        <v/>
      </c>
      <c r="G38" s="14"/>
      <c r="H38" s="47" t="str">
        <f>IF(ISBLANK($A38),"",VLOOKUP($A38,商品マスタ!$A$2:$E$7,4,FALSE))</f>
        <v/>
      </c>
      <c r="I38" s="13" t="str">
        <f>IF(G38="","",F38*G38)</f>
        <v/>
      </c>
    </row>
    <row r="39" spans="2:9" ht="20.25" customHeight="1" x14ac:dyDescent="0.15">
      <c r="B39" s="159" t="str">
        <f>IF(ISBLANK($A39),"",VLOOKUP($A39,#REF!,2,FALSE))</f>
        <v/>
      </c>
      <c r="C39" s="160"/>
      <c r="D39" s="161" t="str">
        <f>IF(ISBLANK($A39),"",VLOOKUP($A39,商品マスタ!$A$2:$E$7,3,FALSE))</f>
        <v/>
      </c>
      <c r="E39" s="162"/>
      <c r="F39" s="11" t="str">
        <f>IF(ISBLANK($A39),"",VLOOKUP($A39,商品マスタ!$A$2:$E$7,5,FALSE))</f>
        <v/>
      </c>
      <c r="G39" s="14"/>
      <c r="H39" s="47" t="str">
        <f>IF(ISBLANK($A39),"",VLOOKUP($A39,商品マスタ!$A$2:$E$7,4,FALSE))</f>
        <v/>
      </c>
      <c r="I39" s="13" t="str">
        <f>IF(G39="","",F39*G39)</f>
        <v/>
      </c>
    </row>
    <row r="40" spans="2:9" ht="20.25" customHeight="1" x14ac:dyDescent="0.15">
      <c r="B40" s="151" t="str">
        <f>IF(ISBLANK($A40),"",VLOOKUP($A40,#REF!,2,FALSE))</f>
        <v/>
      </c>
      <c r="C40" s="152"/>
      <c r="D40" s="153" t="str">
        <f>IF(ISBLANK($A40),"",VLOOKUP($A40,商品マスタ!$A$2:$E$7,3,FALSE))</f>
        <v/>
      </c>
      <c r="E40" s="154"/>
      <c r="F40" s="11" t="str">
        <f>IF(ISBLANK($A40),"",VLOOKUP($A40,商品マスタ!$A$2:$E$7,5,FALSE))</f>
        <v/>
      </c>
      <c r="G40" s="16"/>
      <c r="H40" s="47" t="str">
        <f>IF(ISBLANK($A40),"",VLOOKUP($A40,商品マスタ!$A$2:$E$7,4,FALSE))</f>
        <v/>
      </c>
      <c r="I40" s="58" t="str">
        <f>IF(G40="","",F40*G40)</f>
        <v/>
      </c>
    </row>
    <row r="41" spans="2:9" ht="18.75" customHeight="1" x14ac:dyDescent="0.15">
      <c r="F41" s="155" t="s">
        <v>5</v>
      </c>
      <c r="G41" s="155"/>
      <c r="H41" s="155"/>
      <c r="I41" s="50">
        <f>SUM(I27:I40)</f>
        <v>1000</v>
      </c>
    </row>
    <row r="42" spans="2:9" ht="18.75" customHeight="1" x14ac:dyDescent="0.15">
      <c r="F42" s="156" t="s">
        <v>6</v>
      </c>
      <c r="G42" s="156"/>
      <c r="H42" s="156"/>
      <c r="I42" s="50">
        <f>I41*0.08</f>
        <v>80</v>
      </c>
    </row>
    <row r="43" spans="2:9" ht="18.75" customHeight="1" thickBot="1" x14ac:dyDescent="0.2">
      <c r="F43" s="157" t="s">
        <v>7</v>
      </c>
      <c r="G43" s="157"/>
      <c r="H43" s="157"/>
      <c r="I43" s="51">
        <f>SUM(I41:I42)</f>
        <v>1080</v>
      </c>
    </row>
    <row r="44" spans="2:9" ht="13.5" customHeight="1" thickTop="1" x14ac:dyDescent="0.15"/>
    <row r="45" spans="2:9" ht="13.5" customHeight="1" x14ac:dyDescent="0.15">
      <c r="B45" s="19" t="s">
        <v>8</v>
      </c>
      <c r="C45" s="6"/>
      <c r="D45" s="6"/>
      <c r="E45" s="6"/>
      <c r="F45" s="6"/>
      <c r="G45" s="6"/>
      <c r="H45" s="6"/>
      <c r="I45" s="6"/>
    </row>
    <row r="46" spans="2:9" ht="4.5" customHeight="1" x14ac:dyDescent="0.15">
      <c r="B46" s="20"/>
      <c r="C46" s="7"/>
      <c r="D46" s="7"/>
      <c r="E46" s="7"/>
      <c r="F46" s="7"/>
    </row>
    <row r="47" spans="2:9" ht="13.5" customHeight="1" x14ac:dyDescent="0.15">
      <c r="B47" s="17"/>
    </row>
    <row r="48" spans="2:9" ht="13.5" customHeight="1" x14ac:dyDescent="0.15">
      <c r="B48" s="17"/>
    </row>
    <row r="49" spans="2:9" ht="13.5" customHeight="1" x14ac:dyDescent="0.15">
      <c r="B49" s="17"/>
    </row>
    <row r="50" spans="2:9" ht="13.5" customHeight="1" x14ac:dyDescent="0.15">
      <c r="B50" s="17"/>
    </row>
    <row r="51" spans="2:9" ht="13.5" customHeight="1" x14ac:dyDescent="0.15">
      <c r="B51" s="17"/>
    </row>
    <row r="52" spans="2:9" ht="13.5" customHeight="1" x14ac:dyDescent="0.15">
      <c r="B52" s="17"/>
    </row>
    <row r="53" spans="2:9" ht="13.5" customHeight="1" x14ac:dyDescent="0.15">
      <c r="B53" s="158"/>
      <c r="C53" s="158"/>
      <c r="D53" s="158"/>
      <c r="E53" s="158"/>
      <c r="F53" s="158"/>
      <c r="G53" s="158"/>
      <c r="H53" s="158"/>
      <c r="I53" s="158"/>
    </row>
  </sheetData>
  <mergeCells count="57">
    <mergeCell ref="B53:I53"/>
    <mergeCell ref="B37:C37"/>
    <mergeCell ref="D37:E37"/>
    <mergeCell ref="B38:C38"/>
    <mergeCell ref="D38:E38"/>
    <mergeCell ref="B39:C39"/>
    <mergeCell ref="D39:E39"/>
    <mergeCell ref="B40:C40"/>
    <mergeCell ref="D40:E40"/>
    <mergeCell ref="F41:H41"/>
    <mergeCell ref="F42:H42"/>
    <mergeCell ref="F43:H43"/>
    <mergeCell ref="B34:C34"/>
    <mergeCell ref="D34:E34"/>
    <mergeCell ref="B35:C35"/>
    <mergeCell ref="D35:E35"/>
    <mergeCell ref="B36:C36"/>
    <mergeCell ref="D36:E36"/>
    <mergeCell ref="B31:C31"/>
    <mergeCell ref="D31:E31"/>
    <mergeCell ref="B32:C32"/>
    <mergeCell ref="D32:E32"/>
    <mergeCell ref="B33:C33"/>
    <mergeCell ref="D33:E33"/>
    <mergeCell ref="B28:C28"/>
    <mergeCell ref="D28:E28"/>
    <mergeCell ref="B29:C29"/>
    <mergeCell ref="D29:E29"/>
    <mergeCell ref="B30:C30"/>
    <mergeCell ref="D30:E30"/>
    <mergeCell ref="B18:B19"/>
    <mergeCell ref="C18:D19"/>
    <mergeCell ref="F18:I18"/>
    <mergeCell ref="B26:E26"/>
    <mergeCell ref="B27:C27"/>
    <mergeCell ref="D27:E27"/>
    <mergeCell ref="C14:D14"/>
    <mergeCell ref="F14:I14"/>
    <mergeCell ref="B15:B17"/>
    <mergeCell ref="C15:D15"/>
    <mergeCell ref="C16:D16"/>
    <mergeCell ref="C17:D17"/>
    <mergeCell ref="F17:I17"/>
    <mergeCell ref="F15:I16"/>
    <mergeCell ref="C13:D13"/>
    <mergeCell ref="F13:I13"/>
    <mergeCell ref="B2:I2"/>
    <mergeCell ref="B3:I3"/>
    <mergeCell ref="F4:I4"/>
    <mergeCell ref="B5:D6"/>
    <mergeCell ref="F5:I5"/>
    <mergeCell ref="F6:I6"/>
    <mergeCell ref="B7:D8"/>
    <mergeCell ref="F7:I7"/>
    <mergeCell ref="E8:E10"/>
    <mergeCell ref="F8:I8"/>
    <mergeCell ref="B10:D10"/>
  </mergeCells>
  <phoneticPr fontId="4"/>
  <conditionalFormatting sqref="B27 D27 D29:D40 B29:B40 F27:I40">
    <cfRule type="expression" dxfId="8" priority="2">
      <formula>MOD(ROW(),2)=1</formula>
    </cfRule>
  </conditionalFormatting>
  <conditionalFormatting sqref="B28 D28">
    <cfRule type="expression" dxfId="7" priority="1">
      <formula>MOD(ROW(),2)=1</formula>
    </cfRule>
  </conditionalFormatting>
  <printOptions horizontalCentered="1"/>
  <pageMargins left="0.94488188976377963" right="0.47244094488188981" top="0.59055118110236227" bottom="0.59055118110236227" header="0.31496062992125984" footer="0.19685039370078741"/>
  <pageSetup paperSize="9" scale="92" orientation="portrait" horizontalDpi="4294967293"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0">
    <pageSetUpPr fitToPage="1"/>
  </sheetPr>
  <dimension ref="A2:I53"/>
  <sheetViews>
    <sheetView showGridLines="0" view="pageBreakPreview" topLeftCell="A37" zoomScaleNormal="100" zoomScaleSheetLayoutView="100" workbookViewId="0">
      <selection activeCell="F33" sqref="F33"/>
    </sheetView>
  </sheetViews>
  <sheetFormatPr defaultColWidth="3.125" defaultRowHeight="13.5" customHeight="1" x14ac:dyDescent="0.15"/>
  <cols>
    <col min="1" max="1" width="7.625" style="1" customWidth="1"/>
    <col min="2" max="2" width="13.875" style="1" customWidth="1"/>
    <col min="3" max="3" width="23.25" style="1" customWidth="1"/>
    <col min="4" max="4" width="11.125" style="1" customWidth="1"/>
    <col min="5" max="5" width="11.625" style="1" customWidth="1"/>
    <col min="6" max="6" width="11.125" style="1" customWidth="1"/>
    <col min="7" max="7" width="6.625" style="1" customWidth="1"/>
    <col min="8" max="8" width="6.125" style="1" customWidth="1"/>
    <col min="9" max="9" width="12.25" style="1" customWidth="1"/>
    <col min="10" max="16384" width="3.125" style="1"/>
  </cols>
  <sheetData>
    <row r="2" spans="2:9" ht="13.5" customHeight="1" x14ac:dyDescent="0.15">
      <c r="B2" s="158"/>
      <c r="C2" s="158"/>
      <c r="D2" s="158"/>
      <c r="E2" s="158"/>
      <c r="F2" s="158"/>
      <c r="G2" s="158"/>
      <c r="H2" s="158"/>
      <c r="I2" s="158"/>
    </row>
    <row r="3" spans="2:9" s="2" customFormat="1" ht="36.75" customHeight="1" x14ac:dyDescent="0.55000000000000004">
      <c r="B3" s="192" t="s">
        <v>22</v>
      </c>
      <c r="C3" s="192"/>
      <c r="D3" s="192"/>
      <c r="E3" s="192"/>
      <c r="F3" s="192"/>
      <c r="G3" s="192"/>
      <c r="H3" s="192"/>
      <c r="I3" s="192"/>
    </row>
    <row r="4" spans="2:9" ht="15" customHeight="1" x14ac:dyDescent="0.15">
      <c r="F4" s="193"/>
      <c r="G4" s="193"/>
      <c r="H4" s="193"/>
      <c r="I4" s="193"/>
    </row>
    <row r="5" spans="2:9" ht="13.5" customHeight="1" x14ac:dyDescent="0.15">
      <c r="B5" s="194" t="str">
        <f>VLOOKUP(F5,請求書履歴!$A$2:$E$40,3,FALSE)</f>
        <v>女性共同法律事務所</v>
      </c>
      <c r="C5" s="194"/>
      <c r="D5" s="194"/>
      <c r="E5" s="62"/>
      <c r="F5" s="195">
        <v>20180003</v>
      </c>
      <c r="G5" s="195"/>
      <c r="H5" s="195"/>
      <c r="I5" s="195"/>
    </row>
    <row r="6" spans="2:9" ht="13.5" customHeight="1" x14ac:dyDescent="0.15">
      <c r="B6" s="194"/>
      <c r="C6" s="194"/>
      <c r="D6" s="194"/>
      <c r="F6" s="196">
        <v>43237</v>
      </c>
      <c r="G6" s="196"/>
      <c r="H6" s="196"/>
      <c r="I6" s="196"/>
    </row>
    <row r="7" spans="2:9" ht="13.5" customHeight="1" x14ac:dyDescent="0.15">
      <c r="B7" s="186" t="str">
        <f>VLOOKUP(F5,請求書履歴!$A$2:$E$40,4,FALSE)&amp; " " &amp; VLOOKUP(F5,請求書履歴!$A$2:$E$40,5,FALSE)</f>
        <v>宮地 様</v>
      </c>
      <c r="C7" s="186"/>
      <c r="D7" s="186"/>
      <c r="F7" s="187"/>
      <c r="G7" s="187"/>
      <c r="H7" s="187"/>
      <c r="I7" s="187"/>
    </row>
    <row r="8" spans="2:9" ht="13.5" customHeight="1" x14ac:dyDescent="0.15">
      <c r="B8" s="186"/>
      <c r="C8" s="186"/>
      <c r="D8" s="186"/>
      <c r="E8" s="188"/>
      <c r="F8" s="177"/>
      <c r="G8" s="177"/>
      <c r="H8" s="177"/>
      <c r="I8" s="177"/>
    </row>
    <row r="9" spans="2:9" ht="13.5" customHeight="1" x14ac:dyDescent="0.15">
      <c r="B9" s="60"/>
      <c r="C9" s="60"/>
      <c r="D9" s="60"/>
      <c r="E9" s="188"/>
      <c r="F9" s="59"/>
      <c r="G9" s="59"/>
      <c r="H9" s="59"/>
      <c r="I9" s="59"/>
    </row>
    <row r="10" spans="2:9" ht="13.5" customHeight="1" x14ac:dyDescent="0.15">
      <c r="B10" s="189"/>
      <c r="C10" s="189"/>
      <c r="D10" s="189"/>
      <c r="E10" s="188"/>
      <c r="F10" s="61"/>
      <c r="G10" s="61"/>
      <c r="H10" s="61"/>
      <c r="I10" s="61"/>
    </row>
    <row r="11" spans="2:9" ht="13.5" customHeight="1" x14ac:dyDescent="0.15">
      <c r="B11" s="28" t="s">
        <v>23</v>
      </c>
      <c r="C11" s="17"/>
      <c r="D11" s="63"/>
      <c r="E11" s="4"/>
      <c r="F11" s="29"/>
      <c r="G11" s="61"/>
      <c r="H11" s="61"/>
      <c r="I11" s="30"/>
    </row>
    <row r="12" spans="2:9" ht="13.5" customHeight="1" x14ac:dyDescent="0.15">
      <c r="B12" s="52"/>
      <c r="C12" s="52"/>
      <c r="D12" s="52"/>
      <c r="E12" s="4"/>
      <c r="F12" s="31"/>
      <c r="G12" s="31"/>
      <c r="H12" s="31"/>
      <c r="I12" s="31"/>
    </row>
    <row r="13" spans="2:9" ht="21" customHeight="1" x14ac:dyDescent="0.4">
      <c r="B13" s="43" t="s">
        <v>12</v>
      </c>
      <c r="C13" s="190" t="s">
        <v>21</v>
      </c>
      <c r="D13" s="190"/>
      <c r="E13" s="4"/>
      <c r="F13" s="191">
        <f>各種設定!C6</f>
        <v>6390223</v>
      </c>
      <c r="G13" s="191"/>
      <c r="H13" s="191"/>
      <c r="I13" s="191"/>
    </row>
    <row r="14" spans="2:9" ht="21" customHeight="1" x14ac:dyDescent="0.4">
      <c r="B14" s="43" t="s">
        <v>25</v>
      </c>
      <c r="C14" s="176">
        <f>EDATE(F6,1)</f>
        <v>43268</v>
      </c>
      <c r="D14" s="176"/>
      <c r="E14" s="4"/>
      <c r="F14" s="177" t="str">
        <f>各種設定!C7</f>
        <v>奈良県香芝市真美ヶ丘7-1-2</v>
      </c>
      <c r="G14" s="177"/>
      <c r="H14" s="177"/>
      <c r="I14" s="177"/>
    </row>
    <row r="15" spans="2:9" ht="19.5" customHeight="1" x14ac:dyDescent="0.4">
      <c r="B15" s="178" t="s">
        <v>13</v>
      </c>
      <c r="C15" s="181" t="str">
        <f>各種設定!C15&amp;" 　"&amp;各種設定!C16</f>
        <v>りそな 銀行 　香芝 支店</v>
      </c>
      <c r="D15" s="181"/>
      <c r="E15" s="62"/>
      <c r="F15" s="231" t="str">
        <f>各種設定!C10</f>
        <v>松田　ひとみ</v>
      </c>
      <c r="G15" s="231"/>
      <c r="H15" s="231"/>
      <c r="I15" s="231"/>
    </row>
    <row r="16" spans="2:9" ht="19.5" x14ac:dyDescent="0.4">
      <c r="B16" s="179"/>
      <c r="C16" s="183" t="str">
        <f>各種設定!C17</f>
        <v>普通　6275173</v>
      </c>
      <c r="D16" s="183"/>
      <c r="F16" s="231"/>
      <c r="G16" s="231"/>
      <c r="H16" s="231"/>
      <c r="I16" s="231"/>
    </row>
    <row r="17" spans="1:9" ht="16.5" customHeight="1" x14ac:dyDescent="0.4">
      <c r="B17" s="180"/>
      <c r="C17" s="184" t="str">
        <f>各種設定!C18</f>
        <v>マツダ　ヒトミ</v>
      </c>
      <c r="D17" s="184"/>
      <c r="E17" s="62"/>
      <c r="F17" s="185" t="str">
        <f>各種設定!C11</f>
        <v>090-8657-6721</v>
      </c>
      <c r="G17" s="185"/>
      <c r="H17" s="185"/>
      <c r="I17" s="185"/>
    </row>
    <row r="18" spans="1:9" ht="14.25" x14ac:dyDescent="0.15">
      <c r="B18" s="169" t="s">
        <v>14</v>
      </c>
      <c r="C18" s="171">
        <f>I43</f>
        <v>1080</v>
      </c>
      <c r="D18" s="171"/>
      <c r="E18" s="62"/>
      <c r="F18" s="172" t="str">
        <f>各種設定!C12</f>
        <v>hitomi@1103slabo.com</v>
      </c>
      <c r="G18" s="172"/>
      <c r="H18" s="172"/>
      <c r="I18" s="172"/>
    </row>
    <row r="19" spans="1:9" ht="34.5" customHeight="1" x14ac:dyDescent="0.15">
      <c r="B19" s="170"/>
      <c r="C19" s="171"/>
      <c r="D19" s="171"/>
      <c r="E19" s="62"/>
      <c r="F19" s="62"/>
      <c r="G19" s="62"/>
      <c r="H19" s="62"/>
      <c r="I19" s="62"/>
    </row>
    <row r="20" spans="1:9" ht="12.75" customHeight="1" x14ac:dyDescent="0.15">
      <c r="B20" s="17"/>
      <c r="C20" s="17"/>
      <c r="D20" s="17"/>
      <c r="E20" s="62"/>
      <c r="F20" s="62"/>
      <c r="G20" s="62"/>
      <c r="H20" s="62"/>
      <c r="I20" s="62"/>
    </row>
    <row r="21" spans="1:9" ht="13.5" customHeight="1" x14ac:dyDescent="0.15">
      <c r="B21" s="25" t="s">
        <v>0</v>
      </c>
      <c r="C21" s="25"/>
      <c r="D21" s="25"/>
      <c r="E21" s="25"/>
      <c r="F21" s="25"/>
      <c r="G21" s="25"/>
      <c r="H21" s="25"/>
      <c r="I21" s="25"/>
    </row>
    <row r="22" spans="1:9" ht="13.5" customHeight="1" x14ac:dyDescent="0.15">
      <c r="B22" s="25" t="s">
        <v>15</v>
      </c>
      <c r="C22" s="25"/>
      <c r="D22" s="25"/>
      <c r="E22" s="25"/>
      <c r="F22" s="25"/>
      <c r="G22" s="25"/>
      <c r="H22" s="25"/>
      <c r="I22" s="25"/>
    </row>
    <row r="23" spans="1:9" ht="13.5" customHeight="1" x14ac:dyDescent="0.15">
      <c r="B23" s="25"/>
      <c r="C23" s="25"/>
      <c r="D23" s="25"/>
      <c r="E23" s="25"/>
      <c r="F23" s="25"/>
      <c r="G23" s="25"/>
      <c r="H23" s="25"/>
      <c r="I23" s="25"/>
    </row>
    <row r="24" spans="1:9" ht="13.5" customHeight="1" x14ac:dyDescent="0.15">
      <c r="B24" s="25"/>
      <c r="C24" s="25"/>
      <c r="D24" s="25"/>
      <c r="E24" s="25"/>
      <c r="F24" s="25"/>
      <c r="G24" s="25"/>
      <c r="H24" s="25"/>
      <c r="I24" s="25"/>
    </row>
    <row r="25" spans="1:9" ht="13.5" customHeight="1" x14ac:dyDescent="0.15">
      <c r="B25" s="19" t="s">
        <v>1</v>
      </c>
      <c r="C25" s="18"/>
      <c r="D25" s="18"/>
      <c r="E25" s="18"/>
      <c r="F25" s="18"/>
      <c r="G25" s="18"/>
      <c r="H25" s="18"/>
      <c r="I25" s="18"/>
    </row>
    <row r="26" spans="1:9" s="44" customFormat="1" ht="20.25" customHeight="1" x14ac:dyDescent="0.15">
      <c r="A26" s="44" t="s">
        <v>18</v>
      </c>
      <c r="B26" s="173" t="s">
        <v>26</v>
      </c>
      <c r="C26" s="173"/>
      <c r="D26" s="173"/>
      <c r="E26" s="173"/>
      <c r="F26" s="45" t="s">
        <v>2</v>
      </c>
      <c r="G26" s="45" t="s">
        <v>3</v>
      </c>
      <c r="H26" s="46" t="s">
        <v>11</v>
      </c>
      <c r="I26" s="46" t="s">
        <v>4</v>
      </c>
    </row>
    <row r="27" spans="1:9" ht="20.25" customHeight="1" x14ac:dyDescent="0.15">
      <c r="A27" s="1" t="s">
        <v>20</v>
      </c>
      <c r="B27" s="174" t="str">
        <f>IF(ISBLANK($A27),"",VLOOKUP($A27,商品マスタ!$A$2:$E$7,2,FALSE))</f>
        <v>PCトラブル・メール相談</v>
      </c>
      <c r="C27" s="175"/>
      <c r="D27" s="161">
        <f>IF(ISBLANK($A27),"",VLOOKUP($A27,商品マスタ!$A$2:$E$7,3,FALSE))</f>
        <v>0</v>
      </c>
      <c r="E27" s="162"/>
      <c r="F27" s="11">
        <f>IF(ISBLANK($A27),"",VLOOKUP($A27,商品マスタ!$A$2:$E$7,5,FALSE))</f>
        <v>1000</v>
      </c>
      <c r="G27" s="49">
        <v>1</v>
      </c>
      <c r="H27" s="47" t="str">
        <f>IF(ISBLANK($A27),"",VLOOKUP($A27,商品マスタ!$A$2:$E$7,4,FALSE))</f>
        <v>案件</v>
      </c>
      <c r="I27" s="13">
        <f>IF(G27="","",F27*G27)</f>
        <v>1000</v>
      </c>
    </row>
    <row r="28" spans="1:9" ht="20.25" customHeight="1" x14ac:dyDescent="0.15">
      <c r="B28" s="167" t="str">
        <f>IF(ISBLANK($A28),"",VLOOKUP($A28,#REF!,2,FALSE))</f>
        <v/>
      </c>
      <c r="C28" s="168"/>
      <c r="D28" s="161" t="str">
        <f>IF(ISBLANK($A28),"",VLOOKUP($A28,商品マスタ!$A$2:$E$7,3,FALSE))</f>
        <v/>
      </c>
      <c r="E28" s="162"/>
      <c r="F28" s="11" t="str">
        <f>IF(ISBLANK($A28),"",VLOOKUP($A28,商品マスタ!$A$2:$E$7,5,FALSE))</f>
        <v/>
      </c>
      <c r="G28" s="49"/>
      <c r="H28" s="47" t="str">
        <f>IF(ISBLANK($A28),"",VLOOKUP($A28,商品マスタ!$A$2:$E$7,4,FALSE))</f>
        <v/>
      </c>
      <c r="I28" s="13" t="str">
        <f t="shared" ref="I28:I29" si="0">IF(G28="","",F28*G28)</f>
        <v/>
      </c>
    </row>
    <row r="29" spans="1:9" ht="20.25" customHeight="1" x14ac:dyDescent="0.15">
      <c r="B29" s="167" t="str">
        <f>IF(ISBLANK($A29),"",VLOOKUP($A29,#REF!,2,FALSE))</f>
        <v/>
      </c>
      <c r="C29" s="168"/>
      <c r="D29" s="161" t="str">
        <f>IF(ISBLANK($A29),"",VLOOKUP($A29,商品マスタ!$A$2:$E$7,3,FALSE))</f>
        <v/>
      </c>
      <c r="E29" s="162"/>
      <c r="F29" s="11" t="str">
        <f>IF(ISBLANK($A29),"",VLOOKUP($A29,商品マスタ!$A$2:$E$7,5,FALSE))</f>
        <v/>
      </c>
      <c r="G29" s="49"/>
      <c r="H29" s="47" t="str">
        <f>IF(ISBLANK($A29),"",VLOOKUP($A29,商品マスタ!$A$2:$E$7,4,FALSE))</f>
        <v/>
      </c>
      <c r="I29" s="13" t="str">
        <f t="shared" si="0"/>
        <v/>
      </c>
    </row>
    <row r="30" spans="1:9" ht="20.25" customHeight="1" x14ac:dyDescent="0.15">
      <c r="B30" s="159" t="str">
        <f>IF(ISBLANK($A30),"",VLOOKUP($A30,#REF!,2,FALSE))</f>
        <v/>
      </c>
      <c r="C30" s="160"/>
      <c r="D30" s="161" t="str">
        <f>IF(ISBLANK($A30),"",VLOOKUP($A30,商品マスタ!$A$2:$E$7,3,FALSE))</f>
        <v/>
      </c>
      <c r="E30" s="162"/>
      <c r="F30" s="11" t="str">
        <f>IF(ISBLANK($A30),"",VLOOKUP($A30,商品マスタ!$A$2:$E$7,5,FALSE))</f>
        <v/>
      </c>
      <c r="G30" s="12"/>
      <c r="H30" s="47" t="str">
        <f>IF(ISBLANK($A30),"",VLOOKUP($A30,商品マスタ!$A$2:$E$7,4,FALSE))</f>
        <v/>
      </c>
      <c r="I30" s="13"/>
    </row>
    <row r="31" spans="1:9" ht="20.25" customHeight="1" x14ac:dyDescent="0.15">
      <c r="B31" s="159" t="str">
        <f>IF(ISBLANK($A31),"",VLOOKUP($A31,#REF!,2,FALSE))</f>
        <v/>
      </c>
      <c r="C31" s="160"/>
      <c r="D31" s="161" t="str">
        <f>IF(ISBLANK($A31),"",VLOOKUP($A31,商品マスタ!$A$2:$E$7,3,FALSE))</f>
        <v/>
      </c>
      <c r="E31" s="162"/>
      <c r="F31" s="11" t="str">
        <f>IF(ISBLANK($A31),"",VLOOKUP($A31,商品マスタ!$A$2:$E$7,5,FALSE))</f>
        <v/>
      </c>
      <c r="G31" s="12"/>
      <c r="H31" s="47" t="str">
        <f>IF(ISBLANK($A31),"",VLOOKUP($A31,商品マスタ!$A$2:$E$7,4,FALSE))</f>
        <v/>
      </c>
      <c r="I31" s="13"/>
    </row>
    <row r="32" spans="1:9" ht="20.25" customHeight="1" x14ac:dyDescent="0.15">
      <c r="B32" s="159" t="str">
        <f>IF(ISBLANK($A32),"",VLOOKUP($A32,#REF!,2,FALSE))</f>
        <v/>
      </c>
      <c r="C32" s="160"/>
      <c r="D32" s="161" t="str">
        <f>IF(ISBLANK($A32),"",VLOOKUP($A32,商品マスタ!$A$2:$E$7,3,FALSE))</f>
        <v/>
      </c>
      <c r="E32" s="162"/>
      <c r="F32" s="11" t="str">
        <f>IF(ISBLANK($A32),"",VLOOKUP($A32,商品マスタ!$A$2:$E$7,5,FALSE))</f>
        <v/>
      </c>
      <c r="G32" s="12"/>
      <c r="H32" s="47" t="str">
        <f>IF(ISBLANK($A32),"",VLOOKUP($A32,商品マスタ!$A$2:$E$7,4,FALSE))</f>
        <v/>
      </c>
      <c r="I32" s="13"/>
    </row>
    <row r="33" spans="2:9" ht="20.25" customHeight="1" x14ac:dyDescent="0.15">
      <c r="B33" s="159" t="str">
        <f>IF(ISBLANK($A33),"",VLOOKUP($A33,#REF!,2,FALSE))</f>
        <v/>
      </c>
      <c r="C33" s="160"/>
      <c r="D33" s="161" t="str">
        <f>IF(ISBLANK($A33),"",VLOOKUP($A33,商品マスタ!$A$2:$E$7,3,FALSE))</f>
        <v/>
      </c>
      <c r="E33" s="162"/>
      <c r="F33" s="11" t="str">
        <f>IF(ISBLANK($A33),"",VLOOKUP($A33,商品マスタ!$A$2:$E$7,5,FALSE))</f>
        <v/>
      </c>
      <c r="G33" s="12"/>
      <c r="H33" s="47" t="str">
        <f>IF(ISBLANK($A33),"",VLOOKUP($A33,商品マスタ!$A$2:$E$7,4,FALSE))</f>
        <v/>
      </c>
      <c r="I33" s="13"/>
    </row>
    <row r="34" spans="2:9" ht="20.25" customHeight="1" x14ac:dyDescent="0.15">
      <c r="B34" s="159" t="str">
        <f>IF(ISBLANK($A34),"",VLOOKUP($A34,#REF!,2,FALSE))</f>
        <v/>
      </c>
      <c r="C34" s="160"/>
      <c r="D34" s="161" t="str">
        <f>IF(ISBLANK($A34),"",VLOOKUP($A34,商品マスタ!$A$2:$E$7,3,FALSE))</f>
        <v/>
      </c>
      <c r="E34" s="162"/>
      <c r="F34" s="11" t="str">
        <f>IF(ISBLANK($A34),"",VLOOKUP($A34,商品マスタ!$A$2:$E$7,5,FALSE))</f>
        <v/>
      </c>
      <c r="G34" s="12"/>
      <c r="H34" s="47" t="str">
        <f>IF(ISBLANK($A34),"",VLOOKUP($A34,商品マスタ!$A$2:$E$7,4,FALSE))</f>
        <v/>
      </c>
      <c r="I34" s="13"/>
    </row>
    <row r="35" spans="2:9" ht="20.25" customHeight="1" x14ac:dyDescent="0.15">
      <c r="B35" s="163" t="str">
        <f>IF(ISBLANK($A35),"",VLOOKUP($A35,#REF!,2,FALSE))</f>
        <v/>
      </c>
      <c r="C35" s="164"/>
      <c r="D35" s="165" t="str">
        <f>IF(ISBLANK($A35),"",VLOOKUP($A35,商品マスタ!$A$2:$E$7,3,FALSE))</f>
        <v/>
      </c>
      <c r="E35" s="166"/>
      <c r="F35" s="11" t="str">
        <f>IF(ISBLANK($A35),"",VLOOKUP($A35,商品マスタ!$A$2:$E$7,5,FALSE))</f>
        <v/>
      </c>
      <c r="G35" s="12"/>
      <c r="H35" s="47" t="str">
        <f>IF(ISBLANK($A35),"",VLOOKUP($A35,商品マスタ!$A$2:$E$7,4,FALSE))</f>
        <v/>
      </c>
      <c r="I35" s="13"/>
    </row>
    <row r="36" spans="2:9" ht="20.25" customHeight="1" x14ac:dyDescent="0.15">
      <c r="B36" s="163" t="str">
        <f>IF(ISBLANK($A36),"",VLOOKUP($A36,#REF!,2,FALSE))</f>
        <v/>
      </c>
      <c r="C36" s="164"/>
      <c r="D36" s="165" t="str">
        <f>IF(ISBLANK($A36),"",VLOOKUP($A36,商品マスタ!$A$2:$E$7,3,FALSE))</f>
        <v/>
      </c>
      <c r="E36" s="166"/>
      <c r="F36" s="11" t="str">
        <f>IF(ISBLANK($A36),"",VLOOKUP($A36,商品マスタ!$A$2:$E$7,5,FALSE))</f>
        <v/>
      </c>
      <c r="G36" s="12"/>
      <c r="H36" s="47" t="str">
        <f>IF(ISBLANK($A36),"",VLOOKUP($A36,商品マスタ!$A$2:$E$7,4,FALSE))</f>
        <v/>
      </c>
      <c r="I36" s="13"/>
    </row>
    <row r="37" spans="2:9" ht="20.25" customHeight="1" x14ac:dyDescent="0.15">
      <c r="B37" s="159" t="str">
        <f>IF(ISBLANK($A37),"",VLOOKUP($A37,#REF!,2,FALSE))</f>
        <v/>
      </c>
      <c r="C37" s="160"/>
      <c r="D37" s="161" t="str">
        <f>IF(ISBLANK($A37),"",VLOOKUP($A37,商品マスタ!$A$2:$E$7,3,FALSE))</f>
        <v/>
      </c>
      <c r="E37" s="162"/>
      <c r="F37" s="11" t="str">
        <f>IF(ISBLANK($A37),"",VLOOKUP($A37,商品マスタ!$A$2:$E$7,5,FALSE))</f>
        <v/>
      </c>
      <c r="G37" s="12"/>
      <c r="H37" s="47" t="str">
        <f>IF(ISBLANK($A37),"",VLOOKUP($A37,商品マスタ!$A$2:$E$7,4,FALSE))</f>
        <v/>
      </c>
      <c r="I37" s="13"/>
    </row>
    <row r="38" spans="2:9" ht="20.25" customHeight="1" x14ac:dyDescent="0.15">
      <c r="B38" s="159" t="str">
        <f>IF(ISBLANK($A38),"",VLOOKUP($A38,#REF!,2,FALSE))</f>
        <v/>
      </c>
      <c r="C38" s="160"/>
      <c r="D38" s="161" t="str">
        <f>IF(ISBLANK($A38),"",VLOOKUP($A38,商品マスタ!$A$2:$E$7,3,FALSE))</f>
        <v/>
      </c>
      <c r="E38" s="162"/>
      <c r="F38" s="11" t="str">
        <f>IF(ISBLANK($A38),"",VLOOKUP($A38,商品マスタ!$A$2:$E$7,5,FALSE))</f>
        <v/>
      </c>
      <c r="G38" s="14"/>
      <c r="H38" s="47" t="str">
        <f>IF(ISBLANK($A38),"",VLOOKUP($A38,商品マスタ!$A$2:$E$7,4,FALSE))</f>
        <v/>
      </c>
      <c r="I38" s="13" t="str">
        <f>IF(G38="","",F38*G38)</f>
        <v/>
      </c>
    </row>
    <row r="39" spans="2:9" ht="20.25" customHeight="1" x14ac:dyDescent="0.15">
      <c r="B39" s="159" t="str">
        <f>IF(ISBLANK($A39),"",VLOOKUP($A39,#REF!,2,FALSE))</f>
        <v/>
      </c>
      <c r="C39" s="160"/>
      <c r="D39" s="161" t="str">
        <f>IF(ISBLANK($A39),"",VLOOKUP($A39,商品マスタ!$A$2:$E$7,3,FALSE))</f>
        <v/>
      </c>
      <c r="E39" s="162"/>
      <c r="F39" s="11" t="str">
        <f>IF(ISBLANK($A39),"",VLOOKUP($A39,商品マスタ!$A$2:$E$7,5,FALSE))</f>
        <v/>
      </c>
      <c r="G39" s="14"/>
      <c r="H39" s="47" t="str">
        <f>IF(ISBLANK($A39),"",VLOOKUP($A39,商品マスタ!$A$2:$E$7,4,FALSE))</f>
        <v/>
      </c>
      <c r="I39" s="13" t="str">
        <f>IF(G39="","",F39*G39)</f>
        <v/>
      </c>
    </row>
    <row r="40" spans="2:9" ht="20.25" customHeight="1" x14ac:dyDescent="0.15">
      <c r="B40" s="151" t="str">
        <f>IF(ISBLANK($A40),"",VLOOKUP($A40,#REF!,2,FALSE))</f>
        <v/>
      </c>
      <c r="C40" s="152"/>
      <c r="D40" s="153" t="str">
        <f>IF(ISBLANK($A40),"",VLOOKUP($A40,商品マスタ!$A$2:$E$7,3,FALSE))</f>
        <v/>
      </c>
      <c r="E40" s="154"/>
      <c r="F40" s="11" t="str">
        <f>IF(ISBLANK($A40),"",VLOOKUP($A40,商品マスタ!$A$2:$E$7,5,FALSE))</f>
        <v/>
      </c>
      <c r="G40" s="16"/>
      <c r="H40" s="47" t="str">
        <f>IF(ISBLANK($A40),"",VLOOKUP($A40,商品マスタ!$A$2:$E$7,4,FALSE))</f>
        <v/>
      </c>
      <c r="I40" s="58" t="str">
        <f>IF(G40="","",F40*G40)</f>
        <v/>
      </c>
    </row>
    <row r="41" spans="2:9" ht="18.75" customHeight="1" x14ac:dyDescent="0.15">
      <c r="F41" s="155" t="s">
        <v>5</v>
      </c>
      <c r="G41" s="155"/>
      <c r="H41" s="155"/>
      <c r="I41" s="50">
        <f>SUM(I27:I40)</f>
        <v>1000</v>
      </c>
    </row>
    <row r="42" spans="2:9" ht="18.75" customHeight="1" x14ac:dyDescent="0.15">
      <c r="F42" s="156" t="s">
        <v>6</v>
      </c>
      <c r="G42" s="156"/>
      <c r="H42" s="156"/>
      <c r="I42" s="50">
        <f>I41*0.08</f>
        <v>80</v>
      </c>
    </row>
    <row r="43" spans="2:9" ht="18.75" customHeight="1" thickBot="1" x14ac:dyDescent="0.2">
      <c r="F43" s="157" t="s">
        <v>7</v>
      </c>
      <c r="G43" s="157"/>
      <c r="H43" s="157"/>
      <c r="I43" s="51">
        <f>SUM(I41:I42)</f>
        <v>1080</v>
      </c>
    </row>
    <row r="44" spans="2:9" ht="13.5" customHeight="1" thickTop="1" x14ac:dyDescent="0.15"/>
    <row r="45" spans="2:9" ht="13.5" customHeight="1" x14ac:dyDescent="0.15">
      <c r="B45" s="19" t="s">
        <v>8</v>
      </c>
      <c r="C45" s="6"/>
      <c r="D45" s="6"/>
      <c r="E45" s="6"/>
      <c r="F45" s="6"/>
      <c r="G45" s="6"/>
      <c r="H45" s="6"/>
      <c r="I45" s="6"/>
    </row>
    <row r="46" spans="2:9" ht="4.5" customHeight="1" x14ac:dyDescent="0.15">
      <c r="B46" s="20"/>
      <c r="C46" s="7"/>
      <c r="D46" s="7"/>
      <c r="E46" s="7"/>
      <c r="F46" s="7"/>
    </row>
    <row r="47" spans="2:9" ht="13.5" customHeight="1" x14ac:dyDescent="0.15">
      <c r="B47" s="17"/>
    </row>
    <row r="48" spans="2:9" ht="13.5" customHeight="1" x14ac:dyDescent="0.15">
      <c r="B48" s="17"/>
    </row>
    <row r="49" spans="2:9" ht="13.5" customHeight="1" x14ac:dyDescent="0.15">
      <c r="B49" s="17"/>
    </row>
    <row r="50" spans="2:9" ht="13.5" customHeight="1" x14ac:dyDescent="0.15">
      <c r="B50" s="17"/>
    </row>
    <row r="51" spans="2:9" ht="13.5" customHeight="1" x14ac:dyDescent="0.15">
      <c r="B51" s="17"/>
    </row>
    <row r="52" spans="2:9" ht="13.5" customHeight="1" x14ac:dyDescent="0.15">
      <c r="B52" s="17"/>
    </row>
    <row r="53" spans="2:9" ht="13.5" customHeight="1" x14ac:dyDescent="0.15">
      <c r="B53" s="158"/>
      <c r="C53" s="158"/>
      <c r="D53" s="158"/>
      <c r="E53" s="158"/>
      <c r="F53" s="158"/>
      <c r="G53" s="158"/>
      <c r="H53" s="158"/>
      <c r="I53" s="158"/>
    </row>
  </sheetData>
  <mergeCells count="58">
    <mergeCell ref="C13:D13"/>
    <mergeCell ref="F13:I13"/>
    <mergeCell ref="B2:I2"/>
    <mergeCell ref="B3:I3"/>
    <mergeCell ref="F4:I4"/>
    <mergeCell ref="B5:D6"/>
    <mergeCell ref="F5:I5"/>
    <mergeCell ref="F6:I6"/>
    <mergeCell ref="B7:D8"/>
    <mergeCell ref="F7:I7"/>
    <mergeCell ref="E8:E10"/>
    <mergeCell ref="F8:I8"/>
    <mergeCell ref="B10:D10"/>
    <mergeCell ref="C14:D14"/>
    <mergeCell ref="F14:I14"/>
    <mergeCell ref="B15:B17"/>
    <mergeCell ref="C15:D15"/>
    <mergeCell ref="F15:I15"/>
    <mergeCell ref="C16:D16"/>
    <mergeCell ref="F16:I16"/>
    <mergeCell ref="C17:D17"/>
    <mergeCell ref="F17:I17"/>
    <mergeCell ref="B18:B19"/>
    <mergeCell ref="C18:D19"/>
    <mergeCell ref="F18:I18"/>
    <mergeCell ref="B26:E26"/>
    <mergeCell ref="B27:C27"/>
    <mergeCell ref="D27:E27"/>
    <mergeCell ref="B28:C28"/>
    <mergeCell ref="D28:E28"/>
    <mergeCell ref="B29:C29"/>
    <mergeCell ref="D29:E29"/>
    <mergeCell ref="B30:C30"/>
    <mergeCell ref="D30:E30"/>
    <mergeCell ref="B31:C31"/>
    <mergeCell ref="D31:E31"/>
    <mergeCell ref="B32:C32"/>
    <mergeCell ref="D32:E32"/>
    <mergeCell ref="B33:C33"/>
    <mergeCell ref="D33:E33"/>
    <mergeCell ref="B34:C34"/>
    <mergeCell ref="D34:E34"/>
    <mergeCell ref="B35:C35"/>
    <mergeCell ref="D35:E35"/>
    <mergeCell ref="B36:C36"/>
    <mergeCell ref="D36:E36"/>
    <mergeCell ref="B53:I53"/>
    <mergeCell ref="B37:C37"/>
    <mergeCell ref="D37:E37"/>
    <mergeCell ref="B38:C38"/>
    <mergeCell ref="D38:E38"/>
    <mergeCell ref="B39:C39"/>
    <mergeCell ref="D39:E39"/>
    <mergeCell ref="B40:C40"/>
    <mergeCell ref="D40:E40"/>
    <mergeCell ref="F41:H41"/>
    <mergeCell ref="F42:H42"/>
    <mergeCell ref="F43:H43"/>
  </mergeCells>
  <phoneticPr fontId="4"/>
  <conditionalFormatting sqref="B27 D27 D29:D40 B29:B40 F27:I40">
    <cfRule type="expression" dxfId="6" priority="2">
      <formula>MOD(ROW(),2)=1</formula>
    </cfRule>
  </conditionalFormatting>
  <conditionalFormatting sqref="B28 D28">
    <cfRule type="expression" dxfId="5" priority="1">
      <formula>MOD(ROW(),2)=1</formula>
    </cfRule>
  </conditionalFormatting>
  <printOptions horizontalCentered="1"/>
  <pageMargins left="0.94488188976377963" right="0.47244094488188981" top="0.59055118110236227" bottom="0.59055118110236227" header="0.31496062992125984" footer="0.19685039370078741"/>
  <pageSetup paperSize="9" scale="92"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pageSetUpPr fitToPage="1"/>
  </sheetPr>
  <dimension ref="A2:I53"/>
  <sheetViews>
    <sheetView showGridLines="0" view="pageBreakPreview" topLeftCell="A28" zoomScaleNormal="100" zoomScaleSheetLayoutView="100" workbookViewId="0">
      <selection activeCell="F33" sqref="F33"/>
    </sheetView>
  </sheetViews>
  <sheetFormatPr defaultColWidth="3.125" defaultRowHeight="13.5" customHeight="1" x14ac:dyDescent="0.15"/>
  <cols>
    <col min="1" max="1" width="7.625" style="1" customWidth="1"/>
    <col min="2" max="2" width="13.875" style="1" customWidth="1"/>
    <col min="3" max="3" width="23.25" style="1" customWidth="1"/>
    <col min="4" max="4" width="11.125" style="1" customWidth="1"/>
    <col min="5" max="5" width="11.625" style="1" customWidth="1"/>
    <col min="6" max="6" width="11.125" style="1" customWidth="1"/>
    <col min="7" max="7" width="6.625" style="1" customWidth="1"/>
    <col min="8" max="8" width="6.125" style="1" customWidth="1"/>
    <col min="9" max="9" width="12.25" style="1" customWidth="1"/>
    <col min="10" max="16384" width="3.125" style="1"/>
  </cols>
  <sheetData>
    <row r="2" spans="2:9" ht="13.5" customHeight="1" x14ac:dyDescent="0.15">
      <c r="B2" s="158"/>
      <c r="C2" s="158"/>
      <c r="D2" s="158"/>
      <c r="E2" s="158"/>
      <c r="F2" s="158"/>
      <c r="G2" s="158"/>
      <c r="H2" s="158"/>
      <c r="I2" s="158"/>
    </row>
    <row r="3" spans="2:9" s="2" customFormat="1" ht="36.75" customHeight="1" x14ac:dyDescent="0.55000000000000004">
      <c r="B3" s="192" t="s">
        <v>22</v>
      </c>
      <c r="C3" s="192"/>
      <c r="D3" s="192"/>
      <c r="E3" s="192"/>
      <c r="F3" s="192"/>
      <c r="G3" s="192"/>
      <c r="H3" s="192"/>
      <c r="I3" s="192"/>
    </row>
    <row r="4" spans="2:9" ht="15" customHeight="1" x14ac:dyDescent="0.15">
      <c r="F4" s="193"/>
      <c r="G4" s="193"/>
      <c r="H4" s="193"/>
      <c r="I4" s="193"/>
    </row>
    <row r="5" spans="2:9" ht="13.5" customHeight="1" x14ac:dyDescent="0.15">
      <c r="B5" s="194" t="str">
        <f>VLOOKUP(F5,請求書履歴!$A$2:$E$40,3,FALSE)</f>
        <v/>
      </c>
      <c r="C5" s="194"/>
      <c r="D5" s="194"/>
      <c r="E5" s="56"/>
      <c r="F5" s="195">
        <v>20180002</v>
      </c>
      <c r="G5" s="195"/>
      <c r="H5" s="195"/>
      <c r="I5" s="195"/>
    </row>
    <row r="6" spans="2:9" ht="13.5" customHeight="1" x14ac:dyDescent="0.15">
      <c r="B6" s="194"/>
      <c r="C6" s="194"/>
      <c r="D6" s="194"/>
      <c r="F6" s="196">
        <v>43193</v>
      </c>
      <c r="G6" s="196"/>
      <c r="H6" s="196"/>
      <c r="I6" s="196"/>
    </row>
    <row r="7" spans="2:9" ht="13.5" customHeight="1" x14ac:dyDescent="0.15">
      <c r="B7" s="186" t="str">
        <f>VLOOKUP(F5,請求書履歴!$A$2:$E$40,4,FALSE)&amp; " " &amp; VLOOKUP(F5,請求書履歴!$A$2:$E$40,5,FALSE)</f>
        <v>宮地 光子 様</v>
      </c>
      <c r="C7" s="186"/>
      <c r="D7" s="186"/>
      <c r="F7" s="187"/>
      <c r="G7" s="187"/>
      <c r="H7" s="187"/>
      <c r="I7" s="187"/>
    </row>
    <row r="8" spans="2:9" ht="13.5" customHeight="1" x14ac:dyDescent="0.15">
      <c r="B8" s="186"/>
      <c r="C8" s="186"/>
      <c r="D8" s="186"/>
      <c r="E8" s="188"/>
      <c r="F8" s="177"/>
      <c r="G8" s="177"/>
      <c r="H8" s="177"/>
      <c r="I8" s="177"/>
    </row>
    <row r="9" spans="2:9" ht="13.5" customHeight="1" x14ac:dyDescent="0.15">
      <c r="B9" s="55"/>
      <c r="C9" s="55"/>
      <c r="D9" s="55"/>
      <c r="E9" s="188"/>
      <c r="F9" s="54"/>
      <c r="G9" s="54"/>
      <c r="H9" s="54"/>
      <c r="I9" s="54"/>
    </row>
    <row r="10" spans="2:9" ht="13.5" customHeight="1" x14ac:dyDescent="0.15">
      <c r="B10" s="189"/>
      <c r="C10" s="189"/>
      <c r="D10" s="189"/>
      <c r="E10" s="188"/>
      <c r="F10" s="53"/>
      <c r="G10" s="53"/>
      <c r="H10" s="53"/>
      <c r="I10" s="53"/>
    </row>
    <row r="11" spans="2:9" ht="13.5" customHeight="1" x14ac:dyDescent="0.15">
      <c r="B11" s="28" t="s">
        <v>23</v>
      </c>
      <c r="C11" s="17"/>
      <c r="D11" s="57"/>
      <c r="E11" s="4"/>
      <c r="F11" s="29"/>
      <c r="G11" s="53"/>
      <c r="H11" s="53"/>
      <c r="I11" s="30"/>
    </row>
    <row r="12" spans="2:9" ht="13.5" customHeight="1" x14ac:dyDescent="0.15">
      <c r="B12" s="52"/>
      <c r="C12" s="52"/>
      <c r="D12" s="52"/>
      <c r="E12" s="4"/>
      <c r="F12" s="31"/>
      <c r="G12" s="31"/>
      <c r="H12" s="31"/>
      <c r="I12" s="31"/>
    </row>
    <row r="13" spans="2:9" ht="21" customHeight="1" x14ac:dyDescent="0.4">
      <c r="B13" s="43" t="s">
        <v>12</v>
      </c>
      <c r="C13" s="190" t="s">
        <v>21</v>
      </c>
      <c r="D13" s="190"/>
      <c r="E13" s="4"/>
      <c r="F13" s="191">
        <f>各種設定!C6</f>
        <v>6390223</v>
      </c>
      <c r="G13" s="191"/>
      <c r="H13" s="191"/>
      <c r="I13" s="191"/>
    </row>
    <row r="14" spans="2:9" ht="21" customHeight="1" x14ac:dyDescent="0.4">
      <c r="B14" s="43" t="s">
        <v>25</v>
      </c>
      <c r="C14" s="176">
        <f>EDATE(F6,1)</f>
        <v>43223</v>
      </c>
      <c r="D14" s="176"/>
      <c r="E14" s="4"/>
      <c r="F14" s="177" t="str">
        <f>各種設定!C7</f>
        <v>奈良県香芝市真美ヶ丘7-1-2</v>
      </c>
      <c r="G14" s="177"/>
      <c r="H14" s="177"/>
      <c r="I14" s="177"/>
    </row>
    <row r="15" spans="2:9" ht="19.5" customHeight="1" x14ac:dyDescent="0.4">
      <c r="B15" s="178" t="s">
        <v>13</v>
      </c>
      <c r="C15" s="181" t="str">
        <f>各種設定!C15&amp;" 　"&amp;各種設定!C16</f>
        <v>りそな 銀行 　香芝 支店</v>
      </c>
      <c r="D15" s="181"/>
      <c r="E15" s="56"/>
      <c r="F15" s="231" t="str">
        <f>各種設定!C10</f>
        <v>松田　ひとみ</v>
      </c>
      <c r="G15" s="231"/>
      <c r="H15" s="231"/>
      <c r="I15" s="231"/>
    </row>
    <row r="16" spans="2:9" ht="19.5" x14ac:dyDescent="0.4">
      <c r="B16" s="179"/>
      <c r="C16" s="183" t="str">
        <f>各種設定!C17</f>
        <v>普通　6275173</v>
      </c>
      <c r="D16" s="183"/>
      <c r="F16" s="231"/>
      <c r="G16" s="231"/>
      <c r="H16" s="231"/>
      <c r="I16" s="231"/>
    </row>
    <row r="17" spans="1:9" ht="16.5" customHeight="1" x14ac:dyDescent="0.4">
      <c r="B17" s="180"/>
      <c r="C17" s="184" t="str">
        <f>各種設定!C18</f>
        <v>マツダ　ヒトミ</v>
      </c>
      <c r="D17" s="184"/>
      <c r="E17" s="56"/>
      <c r="F17" s="185" t="str">
        <f>各種設定!C11</f>
        <v>090-8657-6721</v>
      </c>
      <c r="G17" s="185"/>
      <c r="H17" s="185"/>
      <c r="I17" s="185"/>
    </row>
    <row r="18" spans="1:9" ht="14.25" x14ac:dyDescent="0.15">
      <c r="B18" s="169" t="s">
        <v>14</v>
      </c>
      <c r="C18" s="171">
        <f>I43</f>
        <v>2160</v>
      </c>
      <c r="D18" s="171"/>
      <c r="E18" s="56"/>
      <c r="F18" s="172" t="str">
        <f>各種設定!C12</f>
        <v>hitomi@1103slabo.com</v>
      </c>
      <c r="G18" s="172"/>
      <c r="H18" s="172"/>
      <c r="I18" s="172"/>
    </row>
    <row r="19" spans="1:9" ht="34.5" customHeight="1" x14ac:dyDescent="0.15">
      <c r="B19" s="170"/>
      <c r="C19" s="171"/>
      <c r="D19" s="171"/>
      <c r="E19" s="56"/>
      <c r="F19" s="56"/>
      <c r="G19" s="56"/>
      <c r="H19" s="56"/>
      <c r="I19" s="56"/>
    </row>
    <row r="20" spans="1:9" ht="12.75" customHeight="1" x14ac:dyDescent="0.15">
      <c r="B20" s="17"/>
      <c r="C20" s="17"/>
      <c r="D20" s="17"/>
      <c r="E20" s="56"/>
      <c r="F20" s="56"/>
      <c r="G20" s="56"/>
      <c r="H20" s="56"/>
      <c r="I20" s="56"/>
    </row>
    <row r="21" spans="1:9" ht="13.5" customHeight="1" x14ac:dyDescent="0.15">
      <c r="B21" s="25" t="s">
        <v>0</v>
      </c>
      <c r="C21" s="25"/>
      <c r="D21" s="25"/>
      <c r="E21" s="25"/>
      <c r="F21" s="25"/>
      <c r="G21" s="25"/>
      <c r="H21" s="25"/>
      <c r="I21" s="25"/>
    </row>
    <row r="22" spans="1:9" ht="13.5" customHeight="1" x14ac:dyDescent="0.15">
      <c r="B22" s="25" t="s">
        <v>15</v>
      </c>
      <c r="C22" s="25"/>
      <c r="D22" s="25"/>
      <c r="E22" s="25"/>
      <c r="F22" s="25"/>
      <c r="G22" s="25"/>
      <c r="H22" s="25"/>
      <c r="I22" s="25"/>
    </row>
    <row r="23" spans="1:9" ht="13.5" customHeight="1" x14ac:dyDescent="0.15">
      <c r="B23" s="25"/>
      <c r="C23" s="25"/>
      <c r="D23" s="25"/>
      <c r="E23" s="25"/>
      <c r="F23" s="25"/>
      <c r="G23" s="25"/>
      <c r="H23" s="25"/>
      <c r="I23" s="25"/>
    </row>
    <row r="24" spans="1:9" ht="13.5" customHeight="1" x14ac:dyDescent="0.15">
      <c r="B24" s="25"/>
      <c r="C24" s="25"/>
      <c r="D24" s="25"/>
      <c r="E24" s="25"/>
      <c r="F24" s="25"/>
      <c r="G24" s="25"/>
      <c r="H24" s="25"/>
      <c r="I24" s="25"/>
    </row>
    <row r="25" spans="1:9" ht="13.5" customHeight="1" x14ac:dyDescent="0.15">
      <c r="B25" s="19" t="s">
        <v>1</v>
      </c>
      <c r="C25" s="18"/>
      <c r="D25" s="18"/>
      <c r="E25" s="18"/>
      <c r="F25" s="18"/>
      <c r="G25" s="18"/>
      <c r="H25" s="18"/>
      <c r="I25" s="18"/>
    </row>
    <row r="26" spans="1:9" s="44" customFormat="1" ht="20.25" customHeight="1" x14ac:dyDescent="0.15">
      <c r="A26" s="44" t="s">
        <v>18</v>
      </c>
      <c r="B26" s="173" t="s">
        <v>26</v>
      </c>
      <c r="C26" s="173"/>
      <c r="D26" s="173"/>
      <c r="E26" s="173"/>
      <c r="F26" s="45" t="s">
        <v>2</v>
      </c>
      <c r="G26" s="45" t="s">
        <v>3</v>
      </c>
      <c r="H26" s="46" t="s">
        <v>11</v>
      </c>
      <c r="I26" s="46" t="s">
        <v>4</v>
      </c>
    </row>
    <row r="27" spans="1:9" ht="20.25" customHeight="1" x14ac:dyDescent="0.15">
      <c r="A27" s="1" t="s">
        <v>20</v>
      </c>
      <c r="B27" s="174" t="str">
        <f>IF(ISBLANK($A27),"",VLOOKUP($A27,商品マスタ!$A$2:$E$7,2,FALSE))</f>
        <v>PCトラブル・メール相談</v>
      </c>
      <c r="C27" s="175"/>
      <c r="D27" s="161">
        <f>IF(ISBLANK($A27),"",VLOOKUP($A27,商品マスタ!$A$2:$E$7,3,FALSE))</f>
        <v>0</v>
      </c>
      <c r="E27" s="162"/>
      <c r="F27" s="11">
        <f>IF(ISBLANK($A27),"",VLOOKUP($A27,商品マスタ!$A$2:$E$7,5,FALSE))</f>
        <v>1000</v>
      </c>
      <c r="G27" s="49">
        <v>2</v>
      </c>
      <c r="H27" s="47" t="str">
        <f>IF(ISBLANK($A27),"",VLOOKUP($A27,商品マスタ!$A$2:$E$7,4,FALSE))</f>
        <v>案件</v>
      </c>
      <c r="I27" s="13">
        <f>IF(G27="","",F27*G27)</f>
        <v>2000</v>
      </c>
    </row>
    <row r="28" spans="1:9" ht="20.25" customHeight="1" x14ac:dyDescent="0.15">
      <c r="B28" s="167" t="str">
        <f>IF(ISBLANK($A28),"",VLOOKUP($A28,#REF!,2,FALSE))</f>
        <v/>
      </c>
      <c r="C28" s="168"/>
      <c r="D28" s="161" t="str">
        <f>IF(ISBLANK($A28),"",VLOOKUP($A28,商品マスタ!$A$2:$E$7,3,FALSE))</f>
        <v/>
      </c>
      <c r="E28" s="162"/>
      <c r="F28" s="11" t="str">
        <f>IF(ISBLANK($A28),"",VLOOKUP($A28,商品マスタ!$A$2:$E$7,5,FALSE))</f>
        <v/>
      </c>
      <c r="G28" s="49"/>
      <c r="H28" s="47" t="str">
        <f>IF(ISBLANK($A28),"",VLOOKUP($A28,商品マスタ!$A$2:$E$7,4,FALSE))</f>
        <v/>
      </c>
      <c r="I28" s="13" t="str">
        <f t="shared" ref="I28:I29" si="0">IF(G28="","",F28*G28)</f>
        <v/>
      </c>
    </row>
    <row r="29" spans="1:9" ht="20.25" customHeight="1" x14ac:dyDescent="0.15">
      <c r="B29" s="167" t="str">
        <f>IF(ISBLANK($A29),"",VLOOKUP($A29,#REF!,2,FALSE))</f>
        <v/>
      </c>
      <c r="C29" s="168"/>
      <c r="D29" s="161" t="str">
        <f>IF(ISBLANK($A29),"",VLOOKUP($A29,商品マスタ!$A$2:$E$7,3,FALSE))</f>
        <v/>
      </c>
      <c r="E29" s="162"/>
      <c r="F29" s="11" t="str">
        <f>IF(ISBLANK($A29),"",VLOOKUP($A29,商品マスタ!$A$2:$E$7,5,FALSE))</f>
        <v/>
      </c>
      <c r="G29" s="49"/>
      <c r="H29" s="47" t="str">
        <f>IF(ISBLANK($A29),"",VLOOKUP($A29,商品マスタ!$A$2:$E$7,4,FALSE))</f>
        <v/>
      </c>
      <c r="I29" s="13" t="str">
        <f t="shared" si="0"/>
        <v/>
      </c>
    </row>
    <row r="30" spans="1:9" ht="20.25" customHeight="1" x14ac:dyDescent="0.15">
      <c r="B30" s="159" t="str">
        <f>IF(ISBLANK($A30),"",VLOOKUP($A30,#REF!,2,FALSE))</f>
        <v/>
      </c>
      <c r="C30" s="160"/>
      <c r="D30" s="161" t="str">
        <f>IF(ISBLANK($A30),"",VLOOKUP($A30,商品マスタ!$A$2:$E$7,3,FALSE))</f>
        <v/>
      </c>
      <c r="E30" s="162"/>
      <c r="F30" s="11" t="str">
        <f>IF(ISBLANK($A30),"",VLOOKUP($A30,商品マスタ!$A$2:$E$7,5,FALSE))</f>
        <v/>
      </c>
      <c r="G30" s="12"/>
      <c r="H30" s="47" t="str">
        <f>IF(ISBLANK($A30),"",VLOOKUP($A30,商品マスタ!$A$2:$E$7,4,FALSE))</f>
        <v/>
      </c>
      <c r="I30" s="13"/>
    </row>
    <row r="31" spans="1:9" ht="20.25" customHeight="1" x14ac:dyDescent="0.15">
      <c r="B31" s="159" t="str">
        <f>IF(ISBLANK($A31),"",VLOOKUP($A31,#REF!,2,FALSE))</f>
        <v/>
      </c>
      <c r="C31" s="160"/>
      <c r="D31" s="161" t="str">
        <f>IF(ISBLANK($A31),"",VLOOKUP($A31,商品マスタ!$A$2:$E$7,3,FALSE))</f>
        <v/>
      </c>
      <c r="E31" s="162"/>
      <c r="F31" s="11" t="str">
        <f>IF(ISBLANK($A31),"",VLOOKUP($A31,商品マスタ!$A$2:$E$7,5,FALSE))</f>
        <v/>
      </c>
      <c r="G31" s="12"/>
      <c r="H31" s="47" t="str">
        <f>IF(ISBLANK($A31),"",VLOOKUP($A31,商品マスタ!$A$2:$E$7,4,FALSE))</f>
        <v/>
      </c>
      <c r="I31" s="13"/>
    </row>
    <row r="32" spans="1:9" ht="20.25" customHeight="1" x14ac:dyDescent="0.15">
      <c r="B32" s="159" t="str">
        <f>IF(ISBLANK($A32),"",VLOOKUP($A32,#REF!,2,FALSE))</f>
        <v/>
      </c>
      <c r="C32" s="160"/>
      <c r="D32" s="161" t="str">
        <f>IF(ISBLANK($A32),"",VLOOKUP($A32,商品マスタ!$A$2:$E$7,3,FALSE))</f>
        <v/>
      </c>
      <c r="E32" s="162"/>
      <c r="F32" s="11" t="str">
        <f>IF(ISBLANK($A32),"",VLOOKUP($A32,商品マスタ!$A$2:$E$7,5,FALSE))</f>
        <v/>
      </c>
      <c r="G32" s="12"/>
      <c r="H32" s="47" t="str">
        <f>IF(ISBLANK($A32),"",VLOOKUP($A32,商品マスタ!$A$2:$E$7,4,FALSE))</f>
        <v/>
      </c>
      <c r="I32" s="13"/>
    </row>
    <row r="33" spans="2:9" ht="20.25" customHeight="1" x14ac:dyDescent="0.15">
      <c r="B33" s="159" t="str">
        <f>IF(ISBLANK($A33),"",VLOOKUP($A33,#REF!,2,FALSE))</f>
        <v/>
      </c>
      <c r="C33" s="160"/>
      <c r="D33" s="161" t="str">
        <f>IF(ISBLANK($A33),"",VLOOKUP($A33,商品マスタ!$A$2:$E$7,3,FALSE))</f>
        <v/>
      </c>
      <c r="E33" s="162"/>
      <c r="F33" s="11" t="str">
        <f>IF(ISBLANK($A33),"",VLOOKUP($A33,商品マスタ!$A$2:$E$7,5,FALSE))</f>
        <v/>
      </c>
      <c r="G33" s="12"/>
      <c r="H33" s="47" t="str">
        <f>IF(ISBLANK($A33),"",VLOOKUP($A33,商品マスタ!$A$2:$E$7,4,FALSE))</f>
        <v/>
      </c>
      <c r="I33" s="13"/>
    </row>
    <row r="34" spans="2:9" ht="20.25" customHeight="1" x14ac:dyDescent="0.15">
      <c r="B34" s="159" t="str">
        <f>IF(ISBLANK($A34),"",VLOOKUP($A34,#REF!,2,FALSE))</f>
        <v/>
      </c>
      <c r="C34" s="160"/>
      <c r="D34" s="161" t="str">
        <f>IF(ISBLANK($A34),"",VLOOKUP($A34,商品マスタ!$A$2:$E$7,3,FALSE))</f>
        <v/>
      </c>
      <c r="E34" s="162"/>
      <c r="F34" s="11" t="str">
        <f>IF(ISBLANK($A34),"",VLOOKUP($A34,商品マスタ!$A$2:$E$7,5,FALSE))</f>
        <v/>
      </c>
      <c r="G34" s="12"/>
      <c r="H34" s="47" t="str">
        <f>IF(ISBLANK($A34),"",VLOOKUP($A34,商品マスタ!$A$2:$E$7,4,FALSE))</f>
        <v/>
      </c>
      <c r="I34" s="13"/>
    </row>
    <row r="35" spans="2:9" ht="20.25" customHeight="1" x14ac:dyDescent="0.15">
      <c r="B35" s="163" t="str">
        <f>IF(ISBLANK($A35),"",VLOOKUP($A35,#REF!,2,FALSE))</f>
        <v/>
      </c>
      <c r="C35" s="164"/>
      <c r="D35" s="165" t="str">
        <f>IF(ISBLANK($A35),"",VLOOKUP($A35,商品マスタ!$A$2:$E$7,3,FALSE))</f>
        <v/>
      </c>
      <c r="E35" s="166"/>
      <c r="F35" s="11" t="str">
        <f>IF(ISBLANK($A35),"",VLOOKUP($A35,商品マスタ!$A$2:$E$7,5,FALSE))</f>
        <v/>
      </c>
      <c r="G35" s="12"/>
      <c r="H35" s="47" t="str">
        <f>IF(ISBLANK($A35),"",VLOOKUP($A35,商品マスタ!$A$2:$E$7,4,FALSE))</f>
        <v/>
      </c>
      <c r="I35" s="13"/>
    </row>
    <row r="36" spans="2:9" ht="20.25" customHeight="1" x14ac:dyDescent="0.15">
      <c r="B36" s="163" t="str">
        <f>IF(ISBLANK($A36),"",VLOOKUP($A36,#REF!,2,FALSE))</f>
        <v/>
      </c>
      <c r="C36" s="164"/>
      <c r="D36" s="165" t="str">
        <f>IF(ISBLANK($A36),"",VLOOKUP($A36,商品マスタ!$A$2:$E$7,3,FALSE))</f>
        <v/>
      </c>
      <c r="E36" s="166"/>
      <c r="F36" s="11" t="str">
        <f>IF(ISBLANK($A36),"",VLOOKUP($A36,商品マスタ!$A$2:$E$7,5,FALSE))</f>
        <v/>
      </c>
      <c r="G36" s="12"/>
      <c r="H36" s="47" t="str">
        <f>IF(ISBLANK($A36),"",VLOOKUP($A36,商品マスタ!$A$2:$E$7,4,FALSE))</f>
        <v/>
      </c>
      <c r="I36" s="13"/>
    </row>
    <row r="37" spans="2:9" ht="20.25" customHeight="1" x14ac:dyDescent="0.15">
      <c r="B37" s="159" t="str">
        <f>IF(ISBLANK($A37),"",VLOOKUP($A37,#REF!,2,FALSE))</f>
        <v/>
      </c>
      <c r="C37" s="160"/>
      <c r="D37" s="161" t="str">
        <f>IF(ISBLANK($A37),"",VLOOKUP($A37,商品マスタ!$A$2:$E$7,3,FALSE))</f>
        <v/>
      </c>
      <c r="E37" s="162"/>
      <c r="F37" s="11" t="str">
        <f>IF(ISBLANK($A37),"",VLOOKUP($A37,商品マスタ!$A$2:$E$7,5,FALSE))</f>
        <v/>
      </c>
      <c r="G37" s="12"/>
      <c r="H37" s="47" t="str">
        <f>IF(ISBLANK($A37),"",VLOOKUP($A37,商品マスタ!$A$2:$E$7,4,FALSE))</f>
        <v/>
      </c>
      <c r="I37" s="13"/>
    </row>
    <row r="38" spans="2:9" ht="20.25" customHeight="1" x14ac:dyDescent="0.15">
      <c r="B38" s="159" t="str">
        <f>IF(ISBLANK($A38),"",VLOOKUP($A38,#REF!,2,FALSE))</f>
        <v/>
      </c>
      <c r="C38" s="160"/>
      <c r="D38" s="161" t="str">
        <f>IF(ISBLANK($A38),"",VLOOKUP($A38,商品マスタ!$A$2:$E$7,3,FALSE))</f>
        <v/>
      </c>
      <c r="E38" s="162"/>
      <c r="F38" s="11" t="str">
        <f>IF(ISBLANK($A38),"",VLOOKUP($A38,商品マスタ!$A$2:$E$7,5,FALSE))</f>
        <v/>
      </c>
      <c r="G38" s="14"/>
      <c r="H38" s="47" t="str">
        <f>IF(ISBLANK($A38),"",VLOOKUP($A38,商品マスタ!$A$2:$E$7,4,FALSE))</f>
        <v/>
      </c>
      <c r="I38" s="13" t="str">
        <f>IF(G38="","",F38*G38)</f>
        <v/>
      </c>
    </row>
    <row r="39" spans="2:9" ht="20.25" customHeight="1" x14ac:dyDescent="0.15">
      <c r="B39" s="159" t="str">
        <f>IF(ISBLANK($A39),"",VLOOKUP($A39,#REF!,2,FALSE))</f>
        <v/>
      </c>
      <c r="C39" s="160"/>
      <c r="D39" s="161" t="str">
        <f>IF(ISBLANK($A39),"",VLOOKUP($A39,商品マスタ!$A$2:$E$7,3,FALSE))</f>
        <v/>
      </c>
      <c r="E39" s="162"/>
      <c r="F39" s="11" t="str">
        <f>IF(ISBLANK($A39),"",VLOOKUP($A39,商品マスタ!$A$2:$E$7,5,FALSE))</f>
        <v/>
      </c>
      <c r="G39" s="14"/>
      <c r="H39" s="47" t="str">
        <f>IF(ISBLANK($A39),"",VLOOKUP($A39,商品マスタ!$A$2:$E$7,4,FALSE))</f>
        <v/>
      </c>
      <c r="I39" s="13" t="str">
        <f>IF(G39="","",F39*G39)</f>
        <v/>
      </c>
    </row>
    <row r="40" spans="2:9" ht="20.25" customHeight="1" x14ac:dyDescent="0.15">
      <c r="B40" s="151" t="str">
        <f>IF(ISBLANK($A40),"",VLOOKUP($A40,#REF!,2,FALSE))</f>
        <v/>
      </c>
      <c r="C40" s="152"/>
      <c r="D40" s="153" t="str">
        <f>IF(ISBLANK($A40),"",VLOOKUP($A40,商品マスタ!$A$2:$E$7,3,FALSE))</f>
        <v/>
      </c>
      <c r="E40" s="154"/>
      <c r="F40" s="11" t="str">
        <f>IF(ISBLANK($A40),"",VLOOKUP($A40,商品マスタ!$A$2:$E$7,5,FALSE))</f>
        <v/>
      </c>
      <c r="G40" s="16"/>
      <c r="H40" s="47" t="str">
        <f>IF(ISBLANK($A40),"",VLOOKUP($A40,商品マスタ!$A$2:$E$7,4,FALSE))</f>
        <v/>
      </c>
      <c r="I40" s="58" t="str">
        <f>IF(G40="","",F40*G40)</f>
        <v/>
      </c>
    </row>
    <row r="41" spans="2:9" ht="18.75" customHeight="1" x14ac:dyDescent="0.15">
      <c r="F41" s="155" t="s">
        <v>5</v>
      </c>
      <c r="G41" s="155"/>
      <c r="H41" s="155"/>
      <c r="I41" s="50">
        <f>SUM(I27:I40)</f>
        <v>2000</v>
      </c>
    </row>
    <row r="42" spans="2:9" ht="18.75" customHeight="1" x14ac:dyDescent="0.15">
      <c r="F42" s="156" t="s">
        <v>6</v>
      </c>
      <c r="G42" s="156"/>
      <c r="H42" s="156"/>
      <c r="I42" s="50">
        <f>I41*0.08</f>
        <v>160</v>
      </c>
    </row>
    <row r="43" spans="2:9" ht="18.75" customHeight="1" thickBot="1" x14ac:dyDescent="0.2">
      <c r="F43" s="157" t="s">
        <v>7</v>
      </c>
      <c r="G43" s="157"/>
      <c r="H43" s="157"/>
      <c r="I43" s="51">
        <f>SUM(I41:I42)</f>
        <v>2160</v>
      </c>
    </row>
    <row r="44" spans="2:9" ht="13.5" customHeight="1" thickTop="1" x14ac:dyDescent="0.15"/>
    <row r="45" spans="2:9" ht="13.5" customHeight="1" x14ac:dyDescent="0.15">
      <c r="B45" s="19" t="s">
        <v>8</v>
      </c>
      <c r="C45" s="6"/>
      <c r="D45" s="6"/>
      <c r="E45" s="6"/>
      <c r="F45" s="6"/>
      <c r="G45" s="6"/>
      <c r="H45" s="6"/>
      <c r="I45" s="6"/>
    </row>
    <row r="46" spans="2:9" ht="4.5" customHeight="1" x14ac:dyDescent="0.15">
      <c r="B46" s="20"/>
      <c r="C46" s="7"/>
      <c r="D46" s="7"/>
      <c r="E46" s="7"/>
      <c r="F46" s="7"/>
    </row>
    <row r="47" spans="2:9" ht="13.5" customHeight="1" x14ac:dyDescent="0.15">
      <c r="B47" s="17"/>
    </row>
    <row r="48" spans="2:9" ht="13.5" customHeight="1" x14ac:dyDescent="0.15">
      <c r="B48" s="17"/>
    </row>
    <row r="49" spans="2:9" ht="13.5" customHeight="1" x14ac:dyDescent="0.15">
      <c r="B49" s="17"/>
    </row>
    <row r="50" spans="2:9" ht="13.5" customHeight="1" x14ac:dyDescent="0.15">
      <c r="B50" s="17"/>
    </row>
    <row r="51" spans="2:9" ht="13.5" customHeight="1" x14ac:dyDescent="0.15">
      <c r="B51" s="17"/>
    </row>
    <row r="52" spans="2:9" ht="13.5" customHeight="1" x14ac:dyDescent="0.15">
      <c r="B52" s="17"/>
    </row>
    <row r="53" spans="2:9" ht="13.5" customHeight="1" x14ac:dyDescent="0.15">
      <c r="B53" s="158"/>
      <c r="C53" s="158"/>
      <c r="D53" s="158"/>
      <c r="E53" s="158"/>
      <c r="F53" s="158"/>
      <c r="G53" s="158"/>
      <c r="H53" s="158"/>
      <c r="I53" s="158"/>
    </row>
  </sheetData>
  <mergeCells count="58">
    <mergeCell ref="C13:D13"/>
    <mergeCell ref="F13:I13"/>
    <mergeCell ref="B2:I2"/>
    <mergeCell ref="B3:I3"/>
    <mergeCell ref="F4:I4"/>
    <mergeCell ref="B5:D6"/>
    <mergeCell ref="F5:I5"/>
    <mergeCell ref="F6:I6"/>
    <mergeCell ref="B7:D8"/>
    <mergeCell ref="F7:I7"/>
    <mergeCell ref="E8:E10"/>
    <mergeCell ref="F8:I8"/>
    <mergeCell ref="B10:D10"/>
    <mergeCell ref="C14:D14"/>
    <mergeCell ref="F14:I14"/>
    <mergeCell ref="B15:B17"/>
    <mergeCell ref="C15:D15"/>
    <mergeCell ref="F15:I15"/>
    <mergeCell ref="C16:D16"/>
    <mergeCell ref="F16:I16"/>
    <mergeCell ref="C17:D17"/>
    <mergeCell ref="F17:I17"/>
    <mergeCell ref="B18:B19"/>
    <mergeCell ref="C18:D19"/>
    <mergeCell ref="F18:I18"/>
    <mergeCell ref="B26:E26"/>
    <mergeCell ref="B27:C27"/>
    <mergeCell ref="D27:E27"/>
    <mergeCell ref="B28:C28"/>
    <mergeCell ref="D28:E28"/>
    <mergeCell ref="B29:C29"/>
    <mergeCell ref="D29:E29"/>
    <mergeCell ref="B30:C30"/>
    <mergeCell ref="D30:E30"/>
    <mergeCell ref="B31:C31"/>
    <mergeCell ref="D31:E31"/>
    <mergeCell ref="B32:C32"/>
    <mergeCell ref="D32:E32"/>
    <mergeCell ref="B33:C33"/>
    <mergeCell ref="D33:E33"/>
    <mergeCell ref="B34:C34"/>
    <mergeCell ref="D34:E34"/>
    <mergeCell ref="B35:C35"/>
    <mergeCell ref="D35:E35"/>
    <mergeCell ref="B36:C36"/>
    <mergeCell ref="D36:E36"/>
    <mergeCell ref="B53:I53"/>
    <mergeCell ref="B37:C37"/>
    <mergeCell ref="D37:E37"/>
    <mergeCell ref="B38:C38"/>
    <mergeCell ref="D38:E38"/>
    <mergeCell ref="B39:C39"/>
    <mergeCell ref="D39:E39"/>
    <mergeCell ref="B40:C40"/>
    <mergeCell ref="D40:E40"/>
    <mergeCell ref="F41:H41"/>
    <mergeCell ref="F42:H42"/>
    <mergeCell ref="F43:H43"/>
  </mergeCells>
  <phoneticPr fontId="4"/>
  <conditionalFormatting sqref="D27 D29:D40 B29:B40 F27:I40">
    <cfRule type="expression" dxfId="4" priority="3">
      <formula>MOD(ROW(),2)=1</formula>
    </cfRule>
  </conditionalFormatting>
  <conditionalFormatting sqref="B28 D28">
    <cfRule type="expression" dxfId="3" priority="2">
      <formula>MOD(ROW(),2)=1</formula>
    </cfRule>
  </conditionalFormatting>
  <conditionalFormatting sqref="B27">
    <cfRule type="expression" dxfId="2" priority="1">
      <formula>MOD(ROW(),2)=1</formula>
    </cfRule>
  </conditionalFormatting>
  <printOptions horizontalCentered="1"/>
  <pageMargins left="0.94488188976377963" right="0.47244094488188981" top="0.59055118110236227" bottom="0.59055118110236227" header="0.31496062992125984" footer="0.19685039370078741"/>
  <pageSetup paperSize="9" scale="92"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pageSetUpPr fitToPage="1"/>
  </sheetPr>
  <dimension ref="A2:I53"/>
  <sheetViews>
    <sheetView showGridLines="0" view="pageBreakPreview" topLeftCell="A28" zoomScaleNormal="100" zoomScaleSheetLayoutView="100" workbookViewId="0">
      <selection activeCell="F33" sqref="F33"/>
    </sheetView>
  </sheetViews>
  <sheetFormatPr defaultColWidth="3.125" defaultRowHeight="13.5" customHeight="1" x14ac:dyDescent="0.15"/>
  <cols>
    <col min="1" max="1" width="7.625" style="1" customWidth="1"/>
    <col min="2" max="2" width="13.875" style="1" customWidth="1"/>
    <col min="3" max="3" width="23.25" style="1" customWidth="1"/>
    <col min="4" max="4" width="11.125" style="1" customWidth="1"/>
    <col min="5" max="5" width="11.625" style="1" customWidth="1"/>
    <col min="6" max="6" width="11.125" style="1" customWidth="1"/>
    <col min="7" max="7" width="6.625" style="1" customWidth="1"/>
    <col min="8" max="8" width="6.125" style="1" customWidth="1"/>
    <col min="9" max="9" width="12.25" style="1" customWidth="1"/>
    <col min="10" max="16384" width="3.125" style="1"/>
  </cols>
  <sheetData>
    <row r="2" spans="2:9" ht="13.5" customHeight="1" x14ac:dyDescent="0.15">
      <c r="B2" s="158"/>
      <c r="C2" s="158"/>
      <c r="D2" s="158"/>
      <c r="E2" s="158"/>
      <c r="F2" s="158"/>
      <c r="G2" s="158"/>
      <c r="H2" s="158"/>
      <c r="I2" s="158"/>
    </row>
    <row r="3" spans="2:9" s="2" customFormat="1" ht="36.75" customHeight="1" x14ac:dyDescent="0.55000000000000004">
      <c r="B3" s="192" t="s">
        <v>22</v>
      </c>
      <c r="C3" s="192"/>
      <c r="D3" s="192"/>
      <c r="E3" s="192"/>
      <c r="F3" s="192"/>
      <c r="G3" s="192"/>
      <c r="H3" s="192"/>
      <c r="I3" s="192"/>
    </row>
    <row r="4" spans="2:9" ht="15" customHeight="1" x14ac:dyDescent="0.15">
      <c r="F4" s="193"/>
      <c r="G4" s="193"/>
      <c r="H4" s="193"/>
      <c r="I4" s="193"/>
    </row>
    <row r="5" spans="2:9" ht="13.5" customHeight="1" x14ac:dyDescent="0.15">
      <c r="B5" s="194" t="str">
        <f>VLOOKUP(F5,請求書履歴!$A$2:$E$40,3,FALSE)</f>
        <v>女性共同法律事務所</v>
      </c>
      <c r="C5" s="194"/>
      <c r="D5" s="194"/>
      <c r="E5" s="56"/>
      <c r="F5" s="195">
        <v>20180001</v>
      </c>
      <c r="G5" s="195"/>
      <c r="H5" s="195"/>
      <c r="I5" s="195"/>
    </row>
    <row r="6" spans="2:9" ht="13.5" customHeight="1" x14ac:dyDescent="0.15">
      <c r="B6" s="194"/>
      <c r="C6" s="194"/>
      <c r="D6" s="194"/>
      <c r="F6" s="196">
        <v>43159</v>
      </c>
      <c r="G6" s="196"/>
      <c r="H6" s="196"/>
      <c r="I6" s="196"/>
    </row>
    <row r="7" spans="2:9" ht="13.5" customHeight="1" x14ac:dyDescent="0.15">
      <c r="B7" s="186" t="str">
        <f>VLOOKUP(F5,請求書履歴!$A$2:$E$40,4,FALSE)&amp; " " &amp; VLOOKUP(F5,請求書履歴!$A$2:$E$40,5,FALSE)</f>
        <v>宮地 様</v>
      </c>
      <c r="C7" s="186"/>
      <c r="D7" s="186"/>
      <c r="F7" s="187"/>
      <c r="G7" s="187"/>
      <c r="H7" s="187"/>
      <c r="I7" s="187"/>
    </row>
    <row r="8" spans="2:9" ht="13.5" customHeight="1" x14ac:dyDescent="0.15">
      <c r="B8" s="186"/>
      <c r="C8" s="186"/>
      <c r="D8" s="186"/>
      <c r="E8" s="188"/>
      <c r="F8" s="177"/>
      <c r="G8" s="177"/>
      <c r="H8" s="177"/>
      <c r="I8" s="177"/>
    </row>
    <row r="9" spans="2:9" ht="13.5" customHeight="1" x14ac:dyDescent="0.15">
      <c r="B9" s="55"/>
      <c r="C9" s="55"/>
      <c r="D9" s="55"/>
      <c r="E9" s="188"/>
      <c r="F9" s="54"/>
      <c r="G9" s="54"/>
      <c r="H9" s="54"/>
      <c r="I9" s="54"/>
    </row>
    <row r="10" spans="2:9" ht="13.5" customHeight="1" x14ac:dyDescent="0.15">
      <c r="B10" s="189"/>
      <c r="C10" s="189"/>
      <c r="D10" s="189"/>
      <c r="E10" s="188"/>
      <c r="F10" s="53"/>
      <c r="G10" s="53"/>
      <c r="H10" s="53"/>
      <c r="I10" s="53"/>
    </row>
    <row r="11" spans="2:9" ht="13.5" customHeight="1" x14ac:dyDescent="0.15">
      <c r="B11" s="28" t="s">
        <v>23</v>
      </c>
      <c r="C11" s="17"/>
      <c r="D11" s="57"/>
      <c r="E11" s="4"/>
      <c r="F11" s="29"/>
      <c r="G11" s="53"/>
      <c r="H11" s="53"/>
      <c r="I11" s="30"/>
    </row>
    <row r="12" spans="2:9" ht="13.5" customHeight="1" x14ac:dyDescent="0.15">
      <c r="B12" s="52"/>
      <c r="C12" s="52"/>
      <c r="D12" s="52"/>
      <c r="E12" s="4"/>
      <c r="F12" s="31"/>
      <c r="G12" s="31"/>
      <c r="H12" s="31"/>
      <c r="I12" s="31"/>
    </row>
    <row r="13" spans="2:9" ht="21" customHeight="1" x14ac:dyDescent="0.4">
      <c r="B13" s="43" t="s">
        <v>12</v>
      </c>
      <c r="C13" s="190" t="s">
        <v>24</v>
      </c>
      <c r="D13" s="190"/>
      <c r="E13" s="4"/>
      <c r="F13" s="191">
        <f>各種設定!C6</f>
        <v>6390223</v>
      </c>
      <c r="G13" s="191"/>
      <c r="H13" s="191"/>
      <c r="I13" s="191"/>
    </row>
    <row r="14" spans="2:9" ht="21" customHeight="1" x14ac:dyDescent="0.4">
      <c r="B14" s="43" t="s">
        <v>25</v>
      </c>
      <c r="C14" s="176">
        <f>EDATE(F6,1)</f>
        <v>43187</v>
      </c>
      <c r="D14" s="176"/>
      <c r="E14" s="4"/>
      <c r="F14" s="177" t="str">
        <f>各種設定!C7</f>
        <v>奈良県香芝市真美ヶ丘7-1-2</v>
      </c>
      <c r="G14" s="177"/>
      <c r="H14" s="177"/>
      <c r="I14" s="177"/>
    </row>
    <row r="15" spans="2:9" ht="19.5" customHeight="1" x14ac:dyDescent="0.4">
      <c r="B15" s="178" t="s">
        <v>13</v>
      </c>
      <c r="C15" s="181" t="str">
        <f>各種設定!C15&amp;" 　"&amp;各種設定!C16</f>
        <v>りそな 銀行 　香芝 支店</v>
      </c>
      <c r="D15" s="181"/>
      <c r="E15" s="56"/>
      <c r="F15" s="232" t="str">
        <f>各種設定!C10</f>
        <v>松田　ひとみ</v>
      </c>
      <c r="G15" s="232"/>
      <c r="H15" s="232"/>
      <c r="I15" s="232"/>
    </row>
    <row r="16" spans="2:9" ht="16.5" x14ac:dyDescent="0.4">
      <c r="B16" s="179"/>
      <c r="C16" s="183" t="str">
        <f>各種設定!C17</f>
        <v>普通　6275173</v>
      </c>
      <c r="D16" s="183"/>
      <c r="F16" s="232"/>
      <c r="G16" s="232"/>
      <c r="H16" s="232"/>
      <c r="I16" s="232"/>
    </row>
    <row r="17" spans="1:9" ht="16.5" customHeight="1" x14ac:dyDescent="0.4">
      <c r="B17" s="180"/>
      <c r="C17" s="184" t="str">
        <f>各種設定!C18</f>
        <v>マツダ　ヒトミ</v>
      </c>
      <c r="D17" s="184"/>
      <c r="E17" s="56"/>
      <c r="F17" s="185" t="str">
        <f>各種設定!C11</f>
        <v>090-8657-6721</v>
      </c>
      <c r="G17" s="185"/>
      <c r="H17" s="185"/>
      <c r="I17" s="185"/>
    </row>
    <row r="18" spans="1:9" ht="14.25" x14ac:dyDescent="0.15">
      <c r="B18" s="169" t="s">
        <v>14</v>
      </c>
      <c r="C18" s="171">
        <f>I43</f>
        <v>43200</v>
      </c>
      <c r="D18" s="171"/>
      <c r="E18" s="56"/>
      <c r="F18" s="172" t="str">
        <f>各種設定!C12</f>
        <v>hitomi@1103slabo.com</v>
      </c>
      <c r="G18" s="172"/>
      <c r="H18" s="172"/>
      <c r="I18" s="172"/>
    </row>
    <row r="19" spans="1:9" ht="34.5" customHeight="1" x14ac:dyDescent="0.15">
      <c r="B19" s="170"/>
      <c r="C19" s="171"/>
      <c r="D19" s="171"/>
      <c r="E19" s="56"/>
      <c r="F19" s="56"/>
      <c r="G19" s="56"/>
      <c r="H19" s="56"/>
      <c r="I19" s="56"/>
    </row>
    <row r="20" spans="1:9" ht="12.75" customHeight="1" x14ac:dyDescent="0.15">
      <c r="B20" s="17"/>
      <c r="C20" s="17"/>
      <c r="D20" s="17"/>
      <c r="E20" s="56"/>
      <c r="F20" s="56"/>
      <c r="G20" s="56"/>
      <c r="H20" s="56"/>
      <c r="I20" s="56"/>
    </row>
    <row r="21" spans="1:9" ht="13.5" customHeight="1" x14ac:dyDescent="0.15">
      <c r="B21" s="25" t="s">
        <v>0</v>
      </c>
      <c r="C21" s="25"/>
      <c r="D21" s="25"/>
      <c r="E21" s="25"/>
      <c r="F21" s="25"/>
      <c r="G21" s="25"/>
      <c r="H21" s="25"/>
      <c r="I21" s="25"/>
    </row>
    <row r="22" spans="1:9" ht="13.5" customHeight="1" x14ac:dyDescent="0.15">
      <c r="B22" s="25" t="s">
        <v>15</v>
      </c>
      <c r="C22" s="25"/>
      <c r="D22" s="25"/>
      <c r="E22" s="25"/>
      <c r="F22" s="25"/>
      <c r="G22" s="25"/>
      <c r="H22" s="25"/>
      <c r="I22" s="25"/>
    </row>
    <row r="23" spans="1:9" ht="13.5" customHeight="1" x14ac:dyDescent="0.15">
      <c r="B23" s="25"/>
      <c r="C23" s="25"/>
      <c r="D23" s="25"/>
      <c r="E23" s="25"/>
      <c r="F23" s="25"/>
      <c r="G23" s="25"/>
      <c r="H23" s="25"/>
      <c r="I23" s="25"/>
    </row>
    <row r="24" spans="1:9" ht="13.5" customHeight="1" x14ac:dyDescent="0.15">
      <c r="B24" s="25"/>
      <c r="C24" s="25"/>
      <c r="D24" s="25"/>
      <c r="E24" s="25"/>
      <c r="F24" s="25"/>
      <c r="G24" s="25"/>
      <c r="H24" s="25"/>
      <c r="I24" s="25"/>
    </row>
    <row r="25" spans="1:9" ht="13.5" customHeight="1" x14ac:dyDescent="0.15">
      <c r="B25" s="19" t="s">
        <v>1</v>
      </c>
      <c r="C25" s="18"/>
      <c r="D25" s="18"/>
      <c r="E25" s="18"/>
      <c r="F25" s="18"/>
      <c r="G25" s="18"/>
      <c r="H25" s="18"/>
      <c r="I25" s="18"/>
    </row>
    <row r="26" spans="1:9" s="44" customFormat="1" ht="20.25" customHeight="1" x14ac:dyDescent="0.15">
      <c r="A26" s="44" t="s">
        <v>18</v>
      </c>
      <c r="B26" s="173" t="s">
        <v>26</v>
      </c>
      <c r="C26" s="173"/>
      <c r="D26" s="173"/>
      <c r="E26" s="173"/>
      <c r="F26" s="45" t="s">
        <v>2</v>
      </c>
      <c r="G26" s="45" t="s">
        <v>3</v>
      </c>
      <c r="H26" s="46" t="s">
        <v>11</v>
      </c>
      <c r="I26" s="46" t="s">
        <v>4</v>
      </c>
    </row>
    <row r="27" spans="1:9" ht="20.25" customHeight="1" x14ac:dyDescent="0.15">
      <c r="A27" s="1" t="s">
        <v>27</v>
      </c>
      <c r="B27" s="174" t="str">
        <f>IF(ISBLANK($A27),"",VLOOKUP($A27,商品マスタ!$A$2:$E$7,2,FALSE))</f>
        <v>PCコンサルティング</v>
      </c>
      <c r="C27" s="175"/>
      <c r="D27" s="161" t="str">
        <f>IF(ISBLANK($A27),"",VLOOKUP($A27,商品マスタ!$A$2:$E$7,3,FALSE))</f>
        <v>メール相談</v>
      </c>
      <c r="E27" s="162"/>
      <c r="F27" s="11">
        <f>IF(ISBLANK($A27),"",VLOOKUP($A27,商品マスタ!$A$2:$E$7,5,FALSE))</f>
        <v>5000</v>
      </c>
      <c r="G27" s="49">
        <v>1</v>
      </c>
      <c r="H27" s="47" t="str">
        <f>IF(ISBLANK($A27),"",VLOOKUP($A27,商品マスタ!$A$2:$E$7,4,FALSE))</f>
        <v>月</v>
      </c>
      <c r="I27" s="13">
        <f>IF(G27="","",F27*G27)</f>
        <v>5000</v>
      </c>
    </row>
    <row r="28" spans="1:9" ht="20.25" customHeight="1" x14ac:dyDescent="0.15">
      <c r="A28" s="1" t="s">
        <v>19</v>
      </c>
      <c r="B28" s="167" t="e">
        <f>IF(ISBLANK($A28),"",VLOOKUP($A28,#REF!,2,FALSE))</f>
        <v>#REF!</v>
      </c>
      <c r="C28" s="168"/>
      <c r="D28" s="161" t="str">
        <f>IF(ISBLANK($A28),"",VLOOKUP($A28,商品マスタ!$A$2:$E$7,3,FALSE))</f>
        <v>○○日訪問分（交通費込み）</v>
      </c>
      <c r="E28" s="162"/>
      <c r="F28" s="11">
        <f>IF(ISBLANK($A28),"",VLOOKUP($A28,商品マスタ!$A$2:$E$7,5,FALSE))</f>
        <v>15000</v>
      </c>
      <c r="G28" s="49">
        <v>1</v>
      </c>
      <c r="H28" s="47" t="str">
        <f>IF(ISBLANK($A28),"",VLOOKUP($A28,商品マスタ!$A$2:$E$7,4,FALSE))</f>
        <v>日</v>
      </c>
      <c r="I28" s="13">
        <f t="shared" ref="I28:I29" si="0">IF(G28="","",F28*G28)</f>
        <v>15000</v>
      </c>
    </row>
    <row r="29" spans="1:9" ht="20.25" customHeight="1" x14ac:dyDescent="0.15">
      <c r="A29" s="1" t="s">
        <v>28</v>
      </c>
      <c r="B29" s="167" t="e">
        <f>IF(ISBLANK($A29),"",VLOOKUP($A29,#REF!,2,FALSE))</f>
        <v>#REF!</v>
      </c>
      <c r="C29" s="168"/>
      <c r="D29" s="161" t="str">
        <f>IF(ISBLANK($A29),"",VLOOKUP($A29,商品マスタ!$A$2:$E$7,3,FALSE))</f>
        <v>事前作成および○○日訪問分</v>
      </c>
      <c r="E29" s="162"/>
      <c r="F29" s="11">
        <f>IF(ISBLANK($A29),"",VLOOKUP($A29,商品マスタ!$A$2:$E$7,5,FALSE))</f>
        <v>20000</v>
      </c>
      <c r="G29" s="49">
        <v>1</v>
      </c>
      <c r="H29" s="47" t="str">
        <f>IF(ISBLANK($A29),"",VLOOKUP($A29,商品マスタ!$A$2:$E$7,4,FALSE))</f>
        <v>式</v>
      </c>
      <c r="I29" s="13">
        <f t="shared" si="0"/>
        <v>20000</v>
      </c>
    </row>
    <row r="30" spans="1:9" ht="20.25" customHeight="1" x14ac:dyDescent="0.15">
      <c r="B30" s="159" t="str">
        <f>IF(ISBLANK($A30),"",VLOOKUP($A30,#REF!,2,FALSE))</f>
        <v/>
      </c>
      <c r="C30" s="160"/>
      <c r="D30" s="161" t="str">
        <f>IF(ISBLANK($A30),"",VLOOKUP($A30,商品マスタ!$A$2:$E$7,3,FALSE))</f>
        <v/>
      </c>
      <c r="E30" s="162"/>
      <c r="F30" s="11" t="str">
        <f>IF(ISBLANK($A30),"",VLOOKUP($A30,商品マスタ!$A$2:$E$7,5,FALSE))</f>
        <v/>
      </c>
      <c r="G30" s="12"/>
      <c r="H30" s="47" t="str">
        <f>IF(ISBLANK($A30),"",VLOOKUP($A30,商品マスタ!$A$2:$E$7,4,FALSE))</f>
        <v/>
      </c>
      <c r="I30" s="13"/>
    </row>
    <row r="31" spans="1:9" ht="20.25" customHeight="1" x14ac:dyDescent="0.15">
      <c r="B31" s="159" t="str">
        <f>IF(ISBLANK($A31),"",VLOOKUP($A31,#REF!,2,FALSE))</f>
        <v/>
      </c>
      <c r="C31" s="160"/>
      <c r="D31" s="161" t="str">
        <f>IF(ISBLANK($A31),"",VLOOKUP($A31,商品マスタ!$A$2:$E$7,3,FALSE))</f>
        <v/>
      </c>
      <c r="E31" s="162"/>
      <c r="F31" s="11" t="str">
        <f>IF(ISBLANK($A31),"",VLOOKUP($A31,商品マスタ!$A$2:$E$7,5,FALSE))</f>
        <v/>
      </c>
      <c r="G31" s="12"/>
      <c r="H31" s="47" t="str">
        <f>IF(ISBLANK($A31),"",VLOOKUP($A31,商品マスタ!$A$2:$E$7,4,FALSE))</f>
        <v/>
      </c>
      <c r="I31" s="13"/>
    </row>
    <row r="32" spans="1:9" ht="20.25" customHeight="1" x14ac:dyDescent="0.15">
      <c r="B32" s="159" t="str">
        <f>IF(ISBLANK($A32),"",VLOOKUP($A32,#REF!,2,FALSE))</f>
        <v/>
      </c>
      <c r="C32" s="160"/>
      <c r="D32" s="161" t="str">
        <f>IF(ISBLANK($A32),"",VLOOKUP($A32,商品マスタ!$A$2:$E$7,3,FALSE))</f>
        <v/>
      </c>
      <c r="E32" s="162"/>
      <c r="F32" s="11" t="str">
        <f>IF(ISBLANK($A32),"",VLOOKUP($A32,商品マスタ!$A$2:$E$7,5,FALSE))</f>
        <v/>
      </c>
      <c r="G32" s="12"/>
      <c r="H32" s="47" t="str">
        <f>IF(ISBLANK($A32),"",VLOOKUP($A32,商品マスタ!$A$2:$E$7,4,FALSE))</f>
        <v/>
      </c>
      <c r="I32" s="13"/>
    </row>
    <row r="33" spans="2:9" ht="20.25" customHeight="1" x14ac:dyDescent="0.15">
      <c r="B33" s="159" t="str">
        <f>IF(ISBLANK($A33),"",VLOOKUP($A33,#REF!,2,FALSE))</f>
        <v/>
      </c>
      <c r="C33" s="160"/>
      <c r="D33" s="161" t="str">
        <f>IF(ISBLANK($A33),"",VLOOKUP($A33,商品マスタ!$A$2:$E$7,3,FALSE))</f>
        <v/>
      </c>
      <c r="E33" s="162"/>
      <c r="F33" s="11" t="str">
        <f>IF(ISBLANK($A33),"",VLOOKUP($A33,商品マスタ!$A$2:$E$7,5,FALSE))</f>
        <v/>
      </c>
      <c r="G33" s="12"/>
      <c r="H33" s="47" t="str">
        <f>IF(ISBLANK($A33),"",VLOOKUP($A33,商品マスタ!$A$2:$E$7,4,FALSE))</f>
        <v/>
      </c>
      <c r="I33" s="13"/>
    </row>
    <row r="34" spans="2:9" ht="20.25" customHeight="1" x14ac:dyDescent="0.15">
      <c r="B34" s="159" t="str">
        <f>IF(ISBLANK($A34),"",VLOOKUP($A34,#REF!,2,FALSE))</f>
        <v/>
      </c>
      <c r="C34" s="160"/>
      <c r="D34" s="161" t="str">
        <f>IF(ISBLANK($A34),"",VLOOKUP($A34,商品マスタ!$A$2:$E$7,3,FALSE))</f>
        <v/>
      </c>
      <c r="E34" s="162"/>
      <c r="F34" s="11" t="str">
        <f>IF(ISBLANK($A34),"",VLOOKUP($A34,商品マスタ!$A$2:$E$7,5,FALSE))</f>
        <v/>
      </c>
      <c r="G34" s="12"/>
      <c r="H34" s="47" t="str">
        <f>IF(ISBLANK($A34),"",VLOOKUP($A34,商品マスタ!$A$2:$E$7,4,FALSE))</f>
        <v/>
      </c>
      <c r="I34" s="13"/>
    </row>
    <row r="35" spans="2:9" ht="20.25" customHeight="1" x14ac:dyDescent="0.15">
      <c r="B35" s="163" t="str">
        <f>IF(ISBLANK($A35),"",VLOOKUP($A35,#REF!,2,FALSE))</f>
        <v/>
      </c>
      <c r="C35" s="164"/>
      <c r="D35" s="165" t="str">
        <f>IF(ISBLANK($A35),"",VLOOKUP($A35,商品マスタ!$A$2:$E$7,3,FALSE))</f>
        <v/>
      </c>
      <c r="E35" s="166"/>
      <c r="F35" s="11" t="str">
        <f>IF(ISBLANK($A35),"",VLOOKUP($A35,商品マスタ!$A$2:$E$7,5,FALSE))</f>
        <v/>
      </c>
      <c r="G35" s="12"/>
      <c r="H35" s="47" t="str">
        <f>IF(ISBLANK($A35),"",VLOOKUP($A35,商品マスタ!$A$2:$E$7,4,FALSE))</f>
        <v/>
      </c>
      <c r="I35" s="13"/>
    </row>
    <row r="36" spans="2:9" ht="20.25" customHeight="1" x14ac:dyDescent="0.15">
      <c r="B36" s="163" t="str">
        <f>IF(ISBLANK($A36),"",VLOOKUP($A36,#REF!,2,FALSE))</f>
        <v/>
      </c>
      <c r="C36" s="164"/>
      <c r="D36" s="165" t="str">
        <f>IF(ISBLANK($A36),"",VLOOKUP($A36,商品マスタ!$A$2:$E$7,3,FALSE))</f>
        <v/>
      </c>
      <c r="E36" s="166"/>
      <c r="F36" s="11" t="str">
        <f>IF(ISBLANK($A36),"",VLOOKUP($A36,商品マスタ!$A$2:$E$7,5,FALSE))</f>
        <v/>
      </c>
      <c r="G36" s="12"/>
      <c r="H36" s="47" t="str">
        <f>IF(ISBLANK($A36),"",VLOOKUP($A36,商品マスタ!$A$2:$E$7,4,FALSE))</f>
        <v/>
      </c>
      <c r="I36" s="13"/>
    </row>
    <row r="37" spans="2:9" ht="20.25" customHeight="1" x14ac:dyDescent="0.15">
      <c r="B37" s="159" t="str">
        <f>IF(ISBLANK($A37),"",VLOOKUP($A37,#REF!,2,FALSE))</f>
        <v/>
      </c>
      <c r="C37" s="160"/>
      <c r="D37" s="161" t="str">
        <f>IF(ISBLANK($A37),"",VLOOKUP($A37,商品マスタ!$A$2:$E$7,3,FALSE))</f>
        <v/>
      </c>
      <c r="E37" s="162"/>
      <c r="F37" s="11" t="str">
        <f>IF(ISBLANK($A37),"",VLOOKUP($A37,商品マスタ!$A$2:$E$7,5,FALSE))</f>
        <v/>
      </c>
      <c r="G37" s="12"/>
      <c r="H37" s="47" t="str">
        <f>IF(ISBLANK($A37),"",VLOOKUP($A37,商品マスタ!$A$2:$E$7,4,FALSE))</f>
        <v/>
      </c>
      <c r="I37" s="13"/>
    </row>
    <row r="38" spans="2:9" ht="20.25" customHeight="1" x14ac:dyDescent="0.15">
      <c r="B38" s="159" t="str">
        <f>IF(ISBLANK($A38),"",VLOOKUP($A38,#REF!,2,FALSE))</f>
        <v/>
      </c>
      <c r="C38" s="160"/>
      <c r="D38" s="161" t="str">
        <f>IF(ISBLANK($A38),"",VLOOKUP($A38,商品マスタ!$A$2:$E$7,3,FALSE))</f>
        <v/>
      </c>
      <c r="E38" s="162"/>
      <c r="F38" s="11" t="str">
        <f>IF(ISBLANK($A38),"",VLOOKUP($A38,商品マスタ!$A$2:$E$7,5,FALSE))</f>
        <v/>
      </c>
      <c r="G38" s="14"/>
      <c r="H38" s="47" t="str">
        <f>IF(ISBLANK($A38),"",VLOOKUP($A38,商品マスタ!$A$2:$E$7,4,FALSE))</f>
        <v/>
      </c>
      <c r="I38" s="13" t="str">
        <f>IF(G38="","",F38*G38)</f>
        <v/>
      </c>
    </row>
    <row r="39" spans="2:9" ht="20.25" customHeight="1" x14ac:dyDescent="0.15">
      <c r="B39" s="159" t="str">
        <f>IF(ISBLANK($A39),"",VLOOKUP($A39,#REF!,2,FALSE))</f>
        <v/>
      </c>
      <c r="C39" s="160"/>
      <c r="D39" s="161" t="str">
        <f>IF(ISBLANK($A39),"",VLOOKUP($A39,商品マスタ!$A$2:$E$7,3,FALSE))</f>
        <v/>
      </c>
      <c r="E39" s="162"/>
      <c r="F39" s="11" t="str">
        <f>IF(ISBLANK($A39),"",VLOOKUP($A39,商品マスタ!$A$2:$E$7,5,FALSE))</f>
        <v/>
      </c>
      <c r="G39" s="14"/>
      <c r="H39" s="47" t="str">
        <f>IF(ISBLANK($A39),"",VLOOKUP($A39,商品マスタ!$A$2:$E$7,4,FALSE))</f>
        <v/>
      </c>
      <c r="I39" s="13" t="str">
        <f>IF(G39="","",F39*G39)</f>
        <v/>
      </c>
    </row>
    <row r="40" spans="2:9" ht="20.25" customHeight="1" x14ac:dyDescent="0.15">
      <c r="B40" s="151" t="str">
        <f>IF(ISBLANK($A40),"",VLOOKUP($A40,#REF!,2,FALSE))</f>
        <v/>
      </c>
      <c r="C40" s="152"/>
      <c r="D40" s="153" t="str">
        <f>IF(ISBLANK($A40),"",VLOOKUP($A40,商品マスタ!$A$2:$E$7,3,FALSE))</f>
        <v/>
      </c>
      <c r="E40" s="154"/>
      <c r="F40" s="11" t="str">
        <f>IF(ISBLANK($A40),"",VLOOKUP($A40,商品マスタ!$A$2:$E$7,5,FALSE))</f>
        <v/>
      </c>
      <c r="G40" s="16"/>
      <c r="H40" s="47" t="str">
        <f>IF(ISBLANK($A40),"",VLOOKUP($A40,商品マスタ!$A$2:$E$7,4,FALSE))</f>
        <v/>
      </c>
      <c r="I40" s="58" t="str">
        <f>IF(G40="","",F40*G40)</f>
        <v/>
      </c>
    </row>
    <row r="41" spans="2:9" ht="18.75" customHeight="1" x14ac:dyDescent="0.15">
      <c r="F41" s="155" t="s">
        <v>5</v>
      </c>
      <c r="G41" s="155"/>
      <c r="H41" s="155"/>
      <c r="I41" s="50">
        <f>SUM(I27:I40)</f>
        <v>40000</v>
      </c>
    </row>
    <row r="42" spans="2:9" ht="18.75" customHeight="1" x14ac:dyDescent="0.15">
      <c r="F42" s="156" t="s">
        <v>6</v>
      </c>
      <c r="G42" s="156"/>
      <c r="H42" s="156"/>
      <c r="I42" s="50">
        <f>I41*0.08</f>
        <v>3200</v>
      </c>
    </row>
    <row r="43" spans="2:9" ht="18.75" customHeight="1" thickBot="1" x14ac:dyDescent="0.2">
      <c r="F43" s="157" t="s">
        <v>7</v>
      </c>
      <c r="G43" s="157"/>
      <c r="H43" s="157"/>
      <c r="I43" s="51">
        <f>SUM(I41:I42)</f>
        <v>43200</v>
      </c>
    </row>
    <row r="44" spans="2:9" ht="13.5" customHeight="1" thickTop="1" x14ac:dyDescent="0.15"/>
    <row r="45" spans="2:9" ht="13.5" customHeight="1" x14ac:dyDescent="0.15">
      <c r="B45" s="19" t="s">
        <v>8</v>
      </c>
      <c r="C45" s="6"/>
      <c r="D45" s="6"/>
      <c r="E45" s="6"/>
      <c r="F45" s="6"/>
      <c r="G45" s="6"/>
      <c r="H45" s="6"/>
      <c r="I45" s="6"/>
    </row>
    <row r="46" spans="2:9" ht="4.5" customHeight="1" x14ac:dyDescent="0.15">
      <c r="B46" s="20"/>
      <c r="C46" s="7"/>
      <c r="D46" s="7"/>
      <c r="E46" s="7"/>
      <c r="F46" s="7"/>
    </row>
    <row r="47" spans="2:9" ht="13.5" customHeight="1" x14ac:dyDescent="0.15">
      <c r="B47" s="17"/>
    </row>
    <row r="48" spans="2:9" ht="13.5" customHeight="1" x14ac:dyDescent="0.15">
      <c r="B48" s="17"/>
    </row>
    <row r="49" spans="2:9" ht="13.5" customHeight="1" x14ac:dyDescent="0.15">
      <c r="B49" s="17"/>
    </row>
    <row r="50" spans="2:9" ht="13.5" customHeight="1" x14ac:dyDescent="0.15">
      <c r="B50" s="17"/>
    </row>
    <row r="51" spans="2:9" ht="13.5" customHeight="1" x14ac:dyDescent="0.15">
      <c r="B51" s="17"/>
    </row>
    <row r="52" spans="2:9" ht="13.5" customHeight="1" x14ac:dyDescent="0.15">
      <c r="B52" s="17"/>
    </row>
    <row r="53" spans="2:9" ht="13.5" customHeight="1" x14ac:dyDescent="0.15">
      <c r="B53" s="158"/>
      <c r="C53" s="158"/>
      <c r="D53" s="158"/>
      <c r="E53" s="158"/>
      <c r="F53" s="158"/>
      <c r="G53" s="158"/>
      <c r="H53" s="158"/>
      <c r="I53" s="158"/>
    </row>
  </sheetData>
  <mergeCells count="57">
    <mergeCell ref="C13:D13"/>
    <mergeCell ref="F13:I13"/>
    <mergeCell ref="B2:I2"/>
    <mergeCell ref="B3:I3"/>
    <mergeCell ref="F4:I4"/>
    <mergeCell ref="B5:D6"/>
    <mergeCell ref="F5:I5"/>
    <mergeCell ref="F6:I6"/>
    <mergeCell ref="B7:D8"/>
    <mergeCell ref="F7:I7"/>
    <mergeCell ref="E8:E10"/>
    <mergeCell ref="F8:I8"/>
    <mergeCell ref="B10:D10"/>
    <mergeCell ref="C14:D14"/>
    <mergeCell ref="F14:I14"/>
    <mergeCell ref="B15:B17"/>
    <mergeCell ref="C15:D15"/>
    <mergeCell ref="C16:D16"/>
    <mergeCell ref="C17:D17"/>
    <mergeCell ref="F17:I17"/>
    <mergeCell ref="F15:I16"/>
    <mergeCell ref="B18:B19"/>
    <mergeCell ref="C18:D19"/>
    <mergeCell ref="F18:I18"/>
    <mergeCell ref="B26:E26"/>
    <mergeCell ref="B27:C27"/>
    <mergeCell ref="D27:E27"/>
    <mergeCell ref="B28:C28"/>
    <mergeCell ref="D28:E28"/>
    <mergeCell ref="B29:C29"/>
    <mergeCell ref="D29:E29"/>
    <mergeCell ref="B30:C30"/>
    <mergeCell ref="D30:E30"/>
    <mergeCell ref="B31:C31"/>
    <mergeCell ref="D31:E31"/>
    <mergeCell ref="B32:C32"/>
    <mergeCell ref="D32:E32"/>
    <mergeCell ref="B33:C33"/>
    <mergeCell ref="D33:E33"/>
    <mergeCell ref="B34:C34"/>
    <mergeCell ref="D34:E34"/>
    <mergeCell ref="B35:C35"/>
    <mergeCell ref="D35:E35"/>
    <mergeCell ref="B36:C36"/>
    <mergeCell ref="D36:E36"/>
    <mergeCell ref="B53:I53"/>
    <mergeCell ref="B37:C37"/>
    <mergeCell ref="D37:E37"/>
    <mergeCell ref="B38:C38"/>
    <mergeCell ref="D38:E38"/>
    <mergeCell ref="B39:C39"/>
    <mergeCell ref="D39:E39"/>
    <mergeCell ref="B40:C40"/>
    <mergeCell ref="D40:E40"/>
    <mergeCell ref="F41:H41"/>
    <mergeCell ref="F42:H42"/>
    <mergeCell ref="F43:H43"/>
  </mergeCells>
  <phoneticPr fontId="4"/>
  <conditionalFormatting sqref="B27 D27 D29:D40 B29:B40 F27:I40">
    <cfRule type="expression" dxfId="1" priority="2">
      <formula>MOD(ROW(),2)=1</formula>
    </cfRule>
  </conditionalFormatting>
  <conditionalFormatting sqref="B28 D28">
    <cfRule type="expression" dxfId="0" priority="1">
      <formula>MOD(ROW(),2)=1</formula>
    </cfRule>
  </conditionalFormatting>
  <printOptions horizontalCentered="1"/>
  <pageMargins left="0.74803149606299213" right="0.48" top="0.59055118110236227" bottom="0.59055118110236227" header="0.31496062992125984" footer="0.19685039370078741"/>
  <pageSetup paperSize="9" scale="94" orientation="portrait" horizontalDpi="4294967293"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24</vt:i4>
      </vt:variant>
      <vt:variant>
        <vt:lpstr>名前付き一覧</vt:lpstr>
      </vt:variant>
      <vt:variant>
        <vt:i4>19</vt:i4>
      </vt:variant>
    </vt:vector>
  </HeadingPairs>
  <TitlesOfParts>
    <vt:vector size="43" baseType="lpstr">
      <vt:lpstr>メニュー</vt:lpstr>
      <vt:lpstr>請求書20210001</vt:lpstr>
      <vt:lpstr>請求書履歴</vt:lpstr>
      <vt:lpstr>商品履歴</vt:lpstr>
      <vt:lpstr>顧客情報</vt:lpstr>
      <vt:lpstr>商品マスタ</vt:lpstr>
      <vt:lpstr>各種設定</vt:lpstr>
      <vt:lpstr>請求書原本</vt:lpstr>
      <vt:lpstr>領収書原本</vt:lpstr>
      <vt:lpstr>見積書原本</vt:lpstr>
      <vt:lpstr>領収書001</vt:lpstr>
      <vt:lpstr>請求書013</vt:lpstr>
      <vt:lpstr>請求書012</vt:lpstr>
      <vt:lpstr>請求書011</vt:lpstr>
      <vt:lpstr>請求書010</vt:lpstr>
      <vt:lpstr>請求書009</vt:lpstr>
      <vt:lpstr>請求書008</vt:lpstr>
      <vt:lpstr>請求書007</vt:lpstr>
      <vt:lpstr>請求書006</vt:lpstr>
      <vt:lpstr>請求書005</vt:lpstr>
      <vt:lpstr>請求書004</vt:lpstr>
      <vt:lpstr>請求書003</vt:lpstr>
      <vt:lpstr>請求書002</vt:lpstr>
      <vt:lpstr>請求書001</vt:lpstr>
      <vt:lpstr>見積書原本!Print_Area</vt:lpstr>
      <vt:lpstr>請求書001!Print_Area</vt:lpstr>
      <vt:lpstr>請求書002!Print_Area</vt:lpstr>
      <vt:lpstr>請求書003!Print_Area</vt:lpstr>
      <vt:lpstr>請求書004!Print_Area</vt:lpstr>
      <vt:lpstr>請求書005!Print_Area</vt:lpstr>
      <vt:lpstr>請求書006!Print_Area</vt:lpstr>
      <vt:lpstr>請求書007!Print_Area</vt:lpstr>
      <vt:lpstr>請求書008!Print_Area</vt:lpstr>
      <vt:lpstr>請求書009!Print_Area</vt:lpstr>
      <vt:lpstr>請求書010!Print_Area</vt:lpstr>
      <vt:lpstr>請求書011!Print_Area</vt:lpstr>
      <vt:lpstr>請求書012!Print_Area</vt:lpstr>
      <vt:lpstr>請求書013!Print_Area</vt:lpstr>
      <vt:lpstr>請求書20210001!Print_Area</vt:lpstr>
      <vt:lpstr>請求書原本!Print_Area</vt:lpstr>
      <vt:lpstr>領収書001!Print_Area</vt:lpstr>
      <vt:lpstr>領収書原本!Print_Area</vt:lpstr>
      <vt:lpstr>商品マスタ</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mfclouduser</dc:creator>
  <cp:lastModifiedBy>松田ひとみ</cp:lastModifiedBy>
  <cp:lastPrinted>2021-03-01T04:11:42Z</cp:lastPrinted>
  <dcterms:created xsi:type="dcterms:W3CDTF">2014-09-12T03:34:24Z</dcterms:created>
  <dcterms:modified xsi:type="dcterms:W3CDTF">2021-04-02T06:24:05Z</dcterms:modified>
</cp:coreProperties>
</file>